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書き出しの概要" sheetId="1" r:id="rId4"/>
    <sheet name="サマリー" sheetId="2" r:id="rId5"/>
    <sheet name="テストケース一覧" sheetId="3" r:id="rId6"/>
    <sheet name="事前準備" sheetId="4" r:id="rId7"/>
    <sheet name="Stripeテストカード" sheetId="5" r:id="rId8"/>
  </sheets>
</workbook>
</file>

<file path=xl/sharedStrings.xml><?xml version="1.0" encoding="utf-8"?>
<sst xmlns="http://schemas.openxmlformats.org/spreadsheetml/2006/main" uniqueCount="287">
  <si>
    <t>この書類はNumbersから書き出されました。各表は  Excelワークシート に変換されました。各Numbersシート上のその他すべてのオブジェクトはそれぞれ別個のワークシートに配置されました。Excelでは数式の計算結果が異なる可能性があるので注意してください。</t>
  </si>
  <si>
    <t>Numbersシート名</t>
  </si>
  <si>
    <t>Numbers表名</t>
  </si>
  <si>
    <t>Excelワークシート名</t>
  </si>
  <si>
    <t>サマリー</t>
  </si>
  <si>
    <t>表1</t>
  </si>
  <si>
    <t>Stripe決済 手動テスト チェックリスト</t>
  </si>
  <si>
    <t>対象: サインアップ決済 / プラン変更 / 解約 / 再契約 / アカウント削除の実機テスト</t>
  </si>
  <si>
    <t>区分</t>
  </si>
  <si>
    <t>内容</t>
  </si>
  <si>
    <t>件数</t>
  </si>
  <si>
    <t>OK</t>
  </si>
  <si>
    <t>NG</t>
  </si>
  <si>
    <t>未実施</t>
  </si>
  <si>
    <t>進捗率</t>
  </si>
  <si>
    <t>SU</t>
  </si>
  <si>
    <t>サインアップ・決済（新規登録/planページ経由）</t>
  </si>
  <si>
    <t>CH</t>
  </si>
  <si>
    <t>プラン変更（アップグレード・ダウングレード）</t>
  </si>
  <si>
    <t>CN</t>
  </si>
  <si>
    <t>プラン解約</t>
  </si>
  <si>
    <t>RE</t>
  </si>
  <si>
    <t>プラン再契約</t>
  </si>
  <si>
    <t>DL</t>
  </si>
  <si>
    <t>ユーザー削除</t>
  </si>
  <si>
    <t>WH</t>
  </si>
  <si>
    <t>Webhook・データ整合性の確認</t>
  </si>
  <si>
    <t>合計</t>
  </si>
  <si>
    <t>※「テストケース一覧」シートの「実施結果」列(J列)を更新すると、この表は自動集計されます。</t>
  </si>
  <si>
    <t>シート構成</t>
  </si>
  <si>
    <t>・テストケース一覧</t>
  </si>
  <si>
    <t>全テストケース本体（手順・期待結果・実施結果を記入）</t>
  </si>
  <si>
    <t>・事前準備</t>
  </si>
  <si>
    <t>テスト環境・Stripe CLI・Webhook確認方法のセットアップ手順</t>
  </si>
  <si>
    <t>・Stripeテストカード</t>
  </si>
  <si>
    <t>決済テストに使用するカード番号一覧</t>
  </si>
  <si>
    <t>テストケース一覧</t>
  </si>
  <si>
    <t>No</t>
  </si>
  <si>
    <t>テストID</t>
  </si>
  <si>
    <t>大分類</t>
  </si>
  <si>
    <t>前提条件</t>
  </si>
  <si>
    <t>テスト手順</t>
  </si>
  <si>
    <t>期待結果（画面表示）</t>
  </si>
  <si>
    <t>期待結果（DB: profile/subscription）</t>
  </si>
  <si>
    <t>期待結果（Stripe側）</t>
  </si>
  <si>
    <t>使用テストカード/備考</t>
  </si>
  <si>
    <t>実施結果</t>
  </si>
  <si>
    <t>実施日</t>
  </si>
  <si>
    <t>気づき・不具合メモ</t>
  </si>
  <si>
    <t>SU-01</t>
  </si>
  <si>
    <t>SU: サインアップ・決済</t>
  </si>
  <si>
    <t>未登録のメールアドレスを準備する。/plan または /sign-up にアクセスできる状態。</t>
  </si>
  <si>
    <t>1. /plan の無料プランで「無料で始める」を押す（または直接 /sign-up）
2. メールアドレス・パスワードを入力し「新規登録」を送信</t>
  </si>
  <si>
    <t>エラーなく /protected へ遷移する</t>
  </si>
  <si>
    <t>・auth.usersにユーザーが作成される
・profileにstripe_uuid/supabase_uuid/emailが登録される
・subscriptionにplan_id=フリー, price_id=null, status='active', stripe_subscription_id=nullで1行作成される</t>
  </si>
  <si>
    <t>Stripeに顧客(customer)が作成される（サブスクリプションは作成されない）</t>
  </si>
  <si>
    <t>カード入力なし</t>
  </si>
  <si>
    <t>SU-02</t>
  </si>
  <si>
    <t>未ログイン状態。有料プランがStripeテストモードのPrice IDと紐づいて登録済みであること。</t>
  </si>
  <si>
    <t>1. /plan にアクセス（未ログイン）
2. 任意の有料プランの「今すぐ始める」を押す
3. /sign-up へ遷移することを確認し、メール・パスワードを入力して送信
4. Stripe Checkoutページでカード情報を入力し決済</t>
  </si>
  <si>
    <t>決済完了後、success_url（/protected?session_id=...）へリダイレクトされる。mypageのプラン表示が選択した有料プラン名になっている</t>
  </si>
  <si>
    <t>・profile/subscription（フリー分）がまず作成される
・決済完了後、customer.subscription.created Webhookにより subscription 行が update され、plan_id=選択プラン, price_id, stripe_subscription_id, status='active', current_period_end, cancel_at_period_end=false になる</t>
  </si>
  <si>
    <t>Checkoutセッション完了、Subscriptionオブジェクトがactiveで作成される。metadata.user_idが正しく設定されていることを確認</t>
  </si>
  <si>
    <t>4242 4242 4242 4242（成功）／これが「planページからユーザー登録&amp;決済」の本流フロー</t>
  </si>
  <si>
    <t>SU-03</t>
  </si>
  <si>
    <t>SU-02と同じ手順の直前まで進める</t>
  </si>
  <si>
    <t>Checkoutページで拒否カードを入力して決済を試みる</t>
  </si>
  <si>
    <t>Stripe Checkout画面上にカードエラーが表示され、決済が完了しない。ユーザーはCheckout画面に留まる</t>
  </si>
  <si>
    <t>subscription行はフリープランのまま更新されない（Webhookが発火しないため）</t>
  </si>
  <si>
    <t>PaymentIntent/Charge が失敗する。Subscriptionは作成されない</t>
  </si>
  <si>
    <t>4000 0000 0000 0002（決済拒否）</t>
  </si>
  <si>
    <t>SU-04</t>
  </si>
  <si>
    <t>Checkoutページで3Dセキュア認証が必要なカードを入力し、認証画面で認証を完了する</t>
  </si>
  <si>
    <t>追加認証（3DS）画面が表示され、認証完了後に決済が成功し /protected へ遷移する</t>
  </si>
  <si>
    <t>customer.subscription.created Webhookにより subscription行が正しく更新される</t>
  </si>
  <si>
    <t>SubscriptionがactiveでStripe上に作成される</t>
  </si>
  <si>
    <t>4000 0025 0000 3155（要3Dセキュア）</t>
  </si>
  <si>
    <t>SU-05</t>
  </si>
  <si>
    <t>Checkoutページでブラウザバック、または「戻る」リンクで決済をキャンセルする</t>
  </si>
  <si>
    <t>cancel_urlである /plan へリダイレクトされる。エラー表示は出ない</t>
  </si>
  <si>
    <t>ユーザー・profile・subscription（フリー分）は作成済みのまま。有料プランへは更新されない</t>
  </si>
  <si>
    <t>Checkoutセッションはexpired/未完了のまま。Subscriptionは作成されない</t>
  </si>
  <si>
    <t>-</t>
  </si>
  <si>
    <t>SU-06</t>
  </si>
  <si>
    <t>既に登録済みのメールアドレスを用意する</t>
  </si>
  <si>
    <t>そのメールアドレスで /sign-up から新規登録を試みる</t>
  </si>
  <si>
    <t>「ユーザーはすでに存在しています。」がエラーメッセージとして表示される</t>
  </si>
  <si>
    <t>新しいuser/profile/subscriptionは作成されない</t>
  </si>
  <si>
    <t>新しいStripe顧客は作成されない</t>
  </si>
  <si>
    <t>SU-07</t>
  </si>
  <si>
    <t>メールアドレスまたはパスワードを空欄のまま新規登録を送信する（フロントのバリデーションを回避できる場合も想定）</t>
  </si>
  <si>
    <t>「メールアドレスとパスワードを入力してください。」等のエラーが表示される</t>
  </si>
  <si>
    <t>何も作成されない</t>
  </si>
  <si>
    <t>フォームのZodバリデーションと合わせて確認</t>
  </si>
  <si>
    <t>SU-08</t>
  </si>
  <si>
    <t>SU-01で作成したフリープランユーザーでログイン済み（＝「ユーザ作成後に決済」のケース）</t>
  </si>
  <si>
    <t>1. ログイン状態で /plan（もしくはmypageの「プランを変更する」を経由せず直接）へアクセス
2. 有料プランの「今すぐ始める」を押す
3. Checkoutで決済を完了する</t>
  </si>
  <si>
    <t>決済完了後 /protected へ遷移。mypageの現在のプランが有料プラン名に変わっている</t>
  </si>
  <si>
    <t>既存のsubscription行（フリー分）がcustomer.subscription.created Webhookにより有料プラン情報でupdateされる（stripe_customer_idは既存のまま流用）</t>
  </si>
  <si>
    <t>既存のcustomerに対してSubscriptionが新規作成される</t>
  </si>
  <si>
    <t>4242 4242 4242 4242</t>
  </si>
  <si>
    <t>SU-09</t>
  </si>
  <si>
    <t>SU-08と同じ前提</t>
  </si>
  <si>
    <t>ログイン済みユーザーが有料プラン決済を拒否カードで試みる</t>
  </si>
  <si>
    <t>Checkout画面でエラー表示、決済不成立</t>
  </si>
  <si>
    <t>subscription行は更新されない（フリーのまま）</t>
  </si>
  <si>
    <t>Subscriptionは作成されない</t>
  </si>
  <si>
    <t>4000 0000 0000 0002</t>
  </si>
  <si>
    <t>SU-10</t>
  </si>
  <si>
    <t>checkout()実行時にStripe API呼び出しが失敗する状況（テスト用に一時的にAPIキーを無効化する等で疑似的に再現）</t>
  </si>
  <si>
    <t>有料プランの「今すぐ始める」を押す</t>
  </si>
  <si>
    <t>「決済を開始できませんでした。時間をおいて再度お試しください。」がトースト表示される</t>
  </si>
  <si>
    <t>DBの状態は変化しない</t>
  </si>
  <si>
    <t>Checkoutセッションは作成されない</t>
  </si>
  <si>
    <t>疑似障害での確認。本番同様の再現が難しい場合はコードレビューで代替可</t>
  </si>
  <si>
    <t>CH-01</t>
  </si>
  <si>
    <t>CH: プラン変更</t>
  </si>
  <si>
    <t>有料プラン契約中のユーザーでログイン</t>
  </si>
  <si>
    <t>mypageで「プランを変更する」を押す</t>
  </si>
  <si>
    <t>/plan?planname=現在のプラン名 に遷移し、現在契約中のプランのボタンがdisabled（押せない）状態になっている</t>
  </si>
  <si>
    <t>変化なし（画面確認のみ）</t>
  </si>
  <si>
    <t>変化なし</t>
  </si>
  <si>
    <t>CH-02</t>
  </si>
  <si>
    <t>有料プランA契約中（stripe_subscription_id保有）でログイン。プランB（上位プラン）が存在すること</t>
  </si>
  <si>
    <t>1. mypage→「プランを変更する」で/planへ遷移
2. プランBの「アップグレードする」を押す</t>
  </si>
  <si>
    <t>処理完了後「サブスクリプションのアップグレードに成功しました」がトースト表示される。mypageのプラン表示がBに変わる</t>
  </si>
  <si>
    <t>customer.subscription.updated Webhookにより subscription 行が plan_id=B, price_id=B, current_period_end, cancel_at_period_end等で更新される</t>
  </si>
  <si>
    <t>同一Subscriptionのitemがproration_behavior=create_prorationsで即時更新される。日割り請求(Invoice)が発生していることを確認</t>
  </si>
  <si>
    <t>画面上でカード入力は不要（既存の支払い方法で即時課金）</t>
  </si>
  <si>
    <t>CH-03</t>
  </si>
  <si>
    <t>有料プランB契約中でログイン。下位プランAが存在すること</t>
  </si>
  <si>
    <t>/plan?planname=B でプランAの「アップグレードする」（ダウングレード）を押す</t>
  </si>
  <si>
    <t>「サブスクリプションのアップグレードに成功しました」表示。mypageのプラン表示がAに変わる</t>
  </si>
  <si>
    <t>subscription行がplan_id=A, price_id=Aへ更新される</t>
  </si>
  <si>
    <t>Subscription itemがAのpriceに変更され、日割りでクレジット（返金相当）が発生することを確認</t>
  </si>
  <si>
    <t>CH-04</t>
  </si>
  <si>
    <t>UpgradeSubscription呼び出し時にStripe側でエラーとなる状況（無効なsubscriptionIdや存在しないprice_idを一時的に使う等で疑似再現）</t>
  </si>
  <si>
    <t>プラン変更ボタンを押す</t>
  </si>
  <si>
    <t>「サブスクリプションのアップグレードに失敗しました」がトースト表示される</t>
  </si>
  <si>
    <t>subscription行は更新されない</t>
  </si>
  <si>
    <t>Subscriptionは変更されない</t>
  </si>
  <si>
    <t>疑似障害での確認</t>
  </si>
  <si>
    <t>CH-05</t>
  </si>
  <si>
    <t>解約予約中（cancel_at_period_end=true）の有料プランユーザーでログイン</t>
  </si>
  <si>
    <t>解約予約中の状態のまま、mypageの「プランを変更する」から別プランへアップグレードを実行する</t>
  </si>
  <si>
    <t>解約予約が解除され、新プランで契約が継続する状態になっているか画面表示で確認する（cancel_at_period_endの表示が消えるか）</t>
  </si>
  <si>
    <t>subscription行のcancel_at_period_endの値がどうなるか確認（StripeのAPI仕様上、items更新だけではcancel_at_period_endは変化しない点に注意）</t>
  </si>
  <si>
    <t>Stripeダッシュボードでcancel_at_period_endの実際の値を確認</t>
  </si>
  <si>
    <t>想定外の挙動が出やすい組み合わせなので重点的に確認</t>
  </si>
  <si>
    <t>CN-01</t>
  </si>
  <si>
    <t>CN: プラン解約</t>
  </si>
  <si>
    <t>有料プラン契約中（stripe_subscription_id保有、cancel_at_period_end=false）でログイン</t>
  </si>
  <si>
    <t>1. mypageで「プランを解約する」を押す
2. 確認ダイアログで「解約」を押す</t>
  </si>
  <si>
    <t>「サブスクリプションを解約しました」表示。mypageが「解約予定日：〇〇」表示と「解約を解除する」ボタンに切り替わる</t>
  </si>
  <si>
    <t>subscription.cancel_at_period_end が true に更新される（レコード自体はまだ削除されない）</t>
  </si>
  <si>
    <t>StripeのSubscriptionがcancel_at_period_end=trueになる（ステータスはまだactive）</t>
  </si>
  <si>
    <t>CN-02</t>
  </si>
  <si>
    <t>CN-01と同じ前提</t>
  </si>
  <si>
    <t>「プランを解約する」→確認ダイアログで「キャンセル」（閉じる）を押す</t>
  </si>
  <si>
    <t>画面は変化せず、通常のプラン表示のまま</t>
  </si>
  <si>
    <t>subscription行は変化しない</t>
  </si>
  <si>
    <t>Stripe側も変化しない</t>
  </si>
  <si>
    <t>誤操作防止の確認</t>
  </si>
  <si>
    <t>CN-03</t>
  </si>
  <si>
    <t>Unsubscription呼び出し時にStripe APIエラーが起きる状況（無効なstripe_subscription_idを一時的にセットする等）</t>
  </si>
  <si>
    <t>解約を実行する</t>
  </si>
  <si>
    <t>「サブスクリプションの解約に失敗しました」がトースト表示される</t>
  </si>
  <si>
    <t>CN-04</t>
  </si>
  <si>
    <t>CN-01完了後（cancel_at_period_end=trueの状態）</t>
  </si>
  <si>
    <t>1. Stripe CLIでwebhookを転送している状態で、Stripeダッシュボード（テストモード）から該当サブスクリプションを「今すぐキャンセル」する、または `stripe trigger customer.subscription.deleted` を実行する
2. もしくはStripe Test Clocksで期間終了まで時間を進める</t>
  </si>
  <si>
    <t>mypageの現在のプラン表示が「フリー」に戻る（userPlanがnullになった際の表示を確認）</t>
  </si>
  <si>
    <t>customer.subscription.deleted WebhookによりUnsubscriptionWebhookが実行され、subscriptionテーブルの該当行がdeleteされる</t>
  </si>
  <si>
    <t>subscription の行がフリープランに更新される</t>
  </si>
  <si>
    <t>期間経過を伴う本来の解約成立フロー。Test Clocksが無い場合はCLIのtriggerで代替</t>
  </si>
  <si>
    <t>RE-01</t>
  </si>
  <si>
    <t>RE: プラン再契約</t>
  </si>
  <si>
    <t>CN-01完了後（解約予約中、cancel_at_period_end=true、まだ契約期間内）</t>
  </si>
  <si>
    <t>mypageで「解約を解除する」を押す</t>
  </si>
  <si>
    <t>「サブスクリプションの再開に成功しました」表示。「解約予定日」表示が消え、通常の「次回の支払い：」表示に戻る</t>
  </si>
  <si>
    <t>subscription.cancel_at_period_endがfalseに更新される</t>
  </si>
  <si>
    <t>StripeのSubscriptionのcancel_at_period_endがfalseに戻る（Subscription自体は継続していたので新規決済は発生しない）</t>
  </si>
  <si>
    <t>RE-02</t>
  </si>
  <si>
    <t>ReactivateSubscription呼び出し時にStripe APIエラーが起きる状況</t>
  </si>
  <si>
    <t>「解約を解除する」を押す</t>
  </si>
  <si>
    <t>「サブスクリプションの再開に失敗しました」表示</t>
  </si>
  <si>
    <t>RE-03</t>
  </si>
  <si>
    <t>【重要】CN-04で期間終了まで進め、subscription行が削除済み＝完全にフリー状態に戻ったユーザーでログイン</t>
  </si>
  <si>
    <t>1. mypageまたは/planから有料プランの「今すぐ始める」を押し、新規にCheckoutで決済する
2. 決済完了後、DBとStripeを確認する</t>
  </si>
  <si>
    <t>決済完了後 /protected に戻り、mypageのプラン表示が新しい有料プラン名になっている</t>
  </si>
  <si>
    <t>★確認ポイント：Subscription()はupdate(...).eq('user_id', userId)のみでinsertを行わないため、事前にuser_idのsubscription行が存在しない場合、update対象が0件でも処理がエラーにならず正常終了してしまう可能性がある。実際にsubscriptionテーブルに新しい行が反映されているか必ず確認すること</t>
  </si>
  <si>
    <t>既存customerに対して新しいSubscriptionが作成される</t>
  </si>
  <si>
    <t>潜在的な不具合が疑われる箇所。NG（DBが更新されない）だった場合は要修正として記録する</t>
  </si>
  <si>
    <t>RE-04</t>
  </si>
  <si>
    <t>RE-01またはRE-03完了直後</t>
  </si>
  <si>
    <t>mypageのプラン情報（現在のプラン名、次回支払い日、台本数上限）を確認する</t>
  </si>
  <si>
    <t>契約中のプラン名・次回支払日（current_period_end）・max_scriptsが正しい値で表示されている</t>
  </si>
  <si>
    <t>subscriptionとplanのjoin結果（userPlan）が最新の状態になっている</t>
  </si>
  <si>
    <t>Stripeダッシュボードの請求情報と日時が一致している（日本時間表記であることも確認）</t>
  </si>
  <si>
    <t>DL-01</t>
  </si>
  <si>
    <t>DL: ユーザー削除</t>
  </si>
  <si>
    <t>有料プラン契約中（アクティブなStripe Subscriptionあり）のユーザーでログイン</t>
  </si>
  <si>
    <t>1. mypageの「アカウント削除」を押す
2. 確認ダイアログで削除を確定する</t>
  </si>
  <si>
    <t>処理完了後、サインアウトされ「/」（トップページ）へリダイレクトされる</t>
  </si>
  <si>
    <t>profile行・subscription行が削除される。Supabase Authのユーザーも削除される（管理画面/管理APIで確認）</t>
  </si>
  <si>
    <t>Stripeの顧客(customer)が削除される。顧客削除に伴い紐づくSubscriptionもcanceledになることを確認する</t>
  </si>
  <si>
    <t>DL-02</t>
  </si>
  <si>
    <t>フリープランのまま（一度も決済していない）ユーザーでログイン</t>
  </si>
  <si>
    <t>アカウント削除を実行する</t>
  </si>
  <si>
    <t>DL-01と同様に削除・リダイレクトされる</t>
  </si>
  <si>
    <t>profile/subscription行が削除される。Authユーザーも削除される</t>
  </si>
  <si>
    <t>Stripe顧客（サブスクリプションなし）が削除される</t>
  </si>
  <si>
    <t>DL-03</t>
  </si>
  <si>
    <t>任意のログイン中ユーザー</t>
  </si>
  <si>
    <t>「アカウント削除」→確認ダイアログで「キャンセル」を押す</t>
  </si>
  <si>
    <t>何も起きず、mypage画面に留まる</t>
  </si>
  <si>
    <t>DL-04</t>
  </si>
  <si>
    <t>profile取得時にDBエラーが起きる状況、またはStripe顧客削除APIが失敗する状況を疑似的に再現</t>
  </si>
  <si>
    <t>「ユーザー削除に失敗しました。しばらくしてからもう一度お試しください。」が表示される</t>
  </si>
  <si>
    <t>profile/subscription/Authユーザーいずれも削除されない（部分的にのみ削除され不整合が起きていないかも確認）</t>
  </si>
  <si>
    <t>Stripe顧客が削除されないか、削除されたのに他の処理が失敗していないか確認</t>
  </si>
  <si>
    <t>現状の実装はtry/catchの外にselectErrorチェックがあるため、エラー時の削除範囲（部分削除の有無）を重点確認</t>
  </si>
  <si>
    <t>DL-05</t>
  </si>
  <si>
    <t>DL-01またはDL-02で削除済みのメールアドレス</t>
  </si>
  <si>
    <t>同じメールアドレス・任意のパスワードで /sign-up から再登録する</t>
  </si>
  <si>
    <t>「ユーザーはすでに存在しています。」等のエラーにならず、新規登録が正常に完了する</t>
  </si>
  <si>
    <t>新しいuser_idでprofile/subscriptionが新規作成される（古いデータの残存がないこと）</t>
  </si>
  <si>
    <t>新しいStripe顧客が作成される（削除前の顧客IDと重複しないこと）</t>
  </si>
  <si>
    <t>アカウント削除の完全性を確認する重要ケース</t>
  </si>
  <si>
    <t>WH-01</t>
  </si>
  <si>
    <t>WH: Webhook確認</t>
  </si>
  <si>
    <t>Stripe CLIがインストール済み、テストモードのAPIキーを.envに設定済み</t>
  </si>
  <si>
    <t>ローカル開発サーバー起動後、別ターミナルで `stripe listen --forward-to localhost:3000/api/stripe/webhook` を実行し、表示されたwebhook signing secretを STRIPE_WEBHOOK_SECRET に設定する</t>
  </si>
  <si>
    <t>Stripe CLIのログにイベントがforwardされ、200 OKが返っていることを確認</t>
  </si>
  <si>
    <t>全ての決済系テストの前提作業</t>
  </si>
  <si>
    <t>WH-02</t>
  </si>
  <si>
    <t>WH-01の設定完了後、SU-02等で決済操作を行う</t>
  </si>
  <si>
    <t>サーバーログ（コンソール）を確認する</t>
  </si>
  <si>
    <t>checkout.session.completed / customer.subscription.created / customer.subscription.updated / customer.subscription.deleted / invoice.payment_succeeded / invoice.payment_failed の各イベントが想定通りのタイミングでログ出力されていることを確認</t>
  </si>
  <si>
    <t>route.tsのswitch文のログ絵文字と合わせて確認すると分かりやすい</t>
  </si>
  <si>
    <t>WH-03</t>
  </si>
  <si>
    <t>有料プラン契約済みユーザー</t>
  </si>
  <si>
    <t>mypageの「次回の支払い」または「解約予定日」の表示と、Stripeダッシュボード上のcurrent_period_endを見比べる</t>
  </si>
  <si>
    <t>日本時間（ja-JP, Asia/Tokyo基準）で日時が正しく変換され表示されている</t>
  </si>
  <si>
    <t>subscription.current_period_endの文字列がロケール変換で崩れていないか確認</t>
  </si>
  <si>
    <t>toLocaleStringの変換ロジックの確認</t>
  </si>
  <si>
    <t>WH-04</t>
  </si>
  <si>
    <t>一連のテスト（SU/CH/CN/RE/DL）を一通り実施した後</t>
  </si>
  <si>
    <t>Supabaseのprofile/subscriptionテーブルとStripeダッシュボード（顧客・サブスクリプション一覧）を突き合わせる</t>
  </si>
  <si>
    <t>孤児レコード（Stripe側は存在するがDBに無い、または逆）がないこと</t>
  </si>
  <si>
    <t>customer/subscriptionの件数・状態がDBと一致していること</t>
  </si>
  <si>
    <t>全体テストの最終チェックとして実施</t>
  </si>
  <si>
    <t>事前準備</t>
  </si>
  <si>
    <t>テスト実施前の準備</t>
  </si>
  <si>
    <t>① Stripeテストモードの確認</t>
  </si>
  <si>
    <t>Stripeダッシュボード右上が「テスト環境」になっていること、アプリの環境変数のAPIキーが sk_test_ / pk_test_ から始まるテストモード用キーであることを確認する。本番キーで実施しないこと。</t>
  </si>
  <si>
    <t>② Webhookのローカル転送</t>
  </si>
  <si>
    <t>Stripe CLIをインストールし、`stripe login` 後に以下を実行してWebhookをローカルに転送する。
  stripe listen --forward-to localhost:3000/api/stripe/webhook
表示された whsec_... を環境変数 STRIPE_WEBHOOK_SECRET に設定してからサーバーを起動する。</t>
  </si>
  <si>
    <t>③ 解約成立（期間終了）のテスト方法</t>
  </si>
  <si>
    <t>実際の請求期間（1ヶ月等）を待たずに customer.subscription.deleted を発生させるには次のいずれかを使う。
  ・Stripeダッシュボードでテスト用サブスクリプションを直接「今すぐキャンセル」する
  ・Stripe CLIで `stripe trigger customer.subscription.deleted` を実行する（metadata.user_idが正しく載らない場合があるため、実サブスクリプションでのキャンセルの方が確実）
  ・Stripeの Test Clocks 機能でテスト用の時計を進めて期間終了を再現する</t>
  </si>
  <si>
    <t>④ テストデータのクリーンアップ</t>
  </si>
  <si>
    <t>テストで作成したユーザー・Stripe顧客はテスト用であることが分かるようにし、テスト終了後は不要なテストユーザーをSupabase/Stripe双方から削除して環境を綺麗に保つ。</t>
  </si>
  <si>
    <t>⑤ 確認に使うツール</t>
  </si>
  <si>
    <t>・Stripeダッシュボード（テストモード）：顧客一覧・サブスクリプション詳細・イベントログ
・Supabaseダッシュボード：profile / subscription / plan テーブルの中身
・ブラウザのDevTools：Server Actionのレスポンス、コンソールログ、Networkタブ</t>
  </si>
  <si>
    <t>Stripeテストカード</t>
  </si>
  <si>
    <t>カード番号</t>
  </si>
  <si>
    <t>用途</t>
  </si>
  <si>
    <t>備考</t>
  </si>
  <si>
    <t>通常決済成功</t>
  </si>
  <si>
    <t>認証不要で即成功する最も基本のテストカード</t>
  </si>
  <si>
    <t>4000 0025 0000 3155</t>
  </si>
  <si>
    <t>3Dセキュア（要認証）</t>
  </si>
  <si>
    <t>認証ステップが挟まるフローの確認に使用</t>
  </si>
  <si>
    <t>4000 0000 0000 9995</t>
  </si>
  <si>
    <t>残高不足で失敗</t>
  </si>
  <si>
    <t>insufficient_fundsエラーの確認</t>
  </si>
  <si>
    <t>カード拒否（generic decline）</t>
  </si>
  <si>
    <t>決済失敗時のエラー表示確認</t>
  </si>
  <si>
    <t>4000 0000 0000 0069</t>
  </si>
  <si>
    <t>有効期限切れ</t>
  </si>
  <si>
    <t>expired_cardエラーの確認</t>
  </si>
  <si>
    <t>4000 0000 0000 0127</t>
  </si>
  <si>
    <t>セキュリティコード不正</t>
  </si>
  <si>
    <t>incorrect_cvcエラーの確認</t>
  </si>
  <si>
    <t>4000 0000 0000 0119</t>
  </si>
  <si>
    <t>処理エラー（processing_error）</t>
  </si>
  <si>
    <t>Stripe側の一時的なエラーの確認</t>
  </si>
  <si>
    <t>※ 上記以外のカード番号一覧は Stripe公式ドキュメント（Testing）を参照。有効期限は未来の任意の日付、CVCは任意の3桁、郵便番号は任意の値でよい。</t>
  </si>
</sst>
</file>

<file path=xl/styles.xml><?xml version="1.0" encoding="utf-8"?>
<styleSheet xmlns="http://schemas.openxmlformats.org/spreadsheetml/2006/main">
  <numFmts count="1">
    <numFmt numFmtId="0" formatCode="General"/>
  </numFmts>
  <fonts count="12">
    <font>
      <sz val="11"/>
      <color indexed="8"/>
      <name val="Calibri"/>
    </font>
    <font>
      <sz val="12"/>
      <color indexed="8"/>
      <name val="Calibri"/>
    </font>
    <font>
      <sz val="14"/>
      <color indexed="8"/>
      <name val="Calibri"/>
    </font>
    <font>
      <sz val="12"/>
      <color indexed="8"/>
      <name val="ヒラギノ角ゴ ProN W3"/>
    </font>
    <font>
      <u val="single"/>
      <sz val="12"/>
      <color indexed="11"/>
      <name val="Calibri"/>
    </font>
    <font>
      <sz val="15"/>
      <color indexed="8"/>
      <name val="Calibri"/>
    </font>
    <font>
      <b val="1"/>
      <sz val="16"/>
      <color indexed="13"/>
      <name val="Arial"/>
    </font>
    <font>
      <i val="1"/>
      <sz val="10"/>
      <color indexed="14"/>
      <name val="Arial"/>
    </font>
    <font>
      <b val="1"/>
      <sz val="10"/>
      <color indexed="16"/>
      <name val="Arial"/>
    </font>
    <font>
      <b val="1"/>
      <sz val="10"/>
      <color indexed="8"/>
      <name val="Arial"/>
    </font>
    <font>
      <sz val="10"/>
      <color indexed="8"/>
      <name val="Arial"/>
    </font>
    <font>
      <b val="1"/>
      <sz val="11"/>
      <color indexed="13"/>
      <name val="Arial"/>
    </font>
  </fonts>
  <fills count="8">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7"/>
        <bgColor auto="1"/>
      </patternFill>
    </fill>
    <fill>
      <patternFill patternType="solid">
        <fgColor indexed="16"/>
        <bgColor auto="1"/>
      </patternFill>
    </fill>
    <fill>
      <patternFill patternType="solid">
        <fgColor indexed="18"/>
        <bgColor auto="1"/>
      </patternFill>
    </fill>
    <fill>
      <patternFill patternType="solid">
        <fgColor indexed="23"/>
        <bgColor auto="1"/>
      </patternFill>
    </fill>
  </fills>
  <borders count="21">
    <border>
      <left/>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diagonal/>
    </border>
    <border>
      <left/>
      <right/>
      <top/>
      <bottom/>
      <diagonal/>
    </border>
    <border>
      <left/>
      <right style="thin">
        <color indexed="12"/>
      </right>
      <top/>
      <bottom/>
      <diagonal/>
    </border>
    <border>
      <left style="thin">
        <color indexed="12"/>
      </left>
      <right/>
      <top/>
      <bottom style="thin">
        <color indexed="15"/>
      </bottom>
      <diagonal/>
    </border>
    <border>
      <left/>
      <right/>
      <top/>
      <bottom style="thin">
        <color indexed="15"/>
      </bottom>
      <diagonal/>
    </border>
    <border>
      <left style="thin">
        <color indexed="15"/>
      </left>
      <right style="thin">
        <color indexed="15"/>
      </right>
      <top style="thin">
        <color indexed="15"/>
      </top>
      <bottom style="thin">
        <color indexed="15"/>
      </bottom>
      <diagonal/>
    </border>
    <border>
      <left style="thin">
        <color indexed="15"/>
      </left>
      <right style="thin">
        <color indexed="12"/>
      </right>
      <top/>
      <bottom style="thin">
        <color indexed="15"/>
      </bottom>
      <diagonal/>
    </border>
    <border>
      <left style="thin">
        <color indexed="12"/>
      </left>
      <right style="thin">
        <color indexed="15"/>
      </right>
      <top style="thin">
        <color indexed="15"/>
      </top>
      <bottom/>
      <diagonal/>
    </border>
    <border>
      <left style="thin">
        <color indexed="12"/>
      </left>
      <right style="thin">
        <color indexed="15"/>
      </right>
      <top/>
      <bottom/>
      <diagonal/>
    </border>
    <border>
      <left/>
      <right/>
      <top style="thin">
        <color indexed="15"/>
      </top>
      <bottom/>
      <diagonal/>
    </border>
    <border>
      <left/>
      <right style="thin">
        <color indexed="12"/>
      </right>
      <top style="thin">
        <color indexed="15"/>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style="thin">
        <color indexed="15"/>
      </left>
      <right/>
      <top style="thin">
        <color indexed="12"/>
      </top>
      <bottom/>
      <diagonal/>
    </border>
    <border>
      <left style="thin">
        <color indexed="15"/>
      </left>
      <right/>
      <top/>
      <bottom/>
      <diagonal/>
    </border>
    <border>
      <left style="thin">
        <color indexed="12"/>
      </left>
      <right/>
      <top style="thin">
        <color indexed="15"/>
      </top>
      <bottom/>
      <diagonal/>
    </border>
  </borders>
  <cellStyleXfs count="1">
    <xf numFmtId="0" fontId="0" applyNumberFormat="0" applyFont="1" applyFill="0" applyBorder="0" applyAlignment="1" applyProtection="0">
      <alignment vertical="bottom"/>
    </xf>
  </cellStyleXfs>
  <cellXfs count="57">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0" fontId="0" borderId="1" applyNumberFormat="0"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0" fontId="0" borderId="4" applyNumberFormat="0" applyFont="1" applyFill="0" applyBorder="1" applyAlignment="1" applyProtection="0">
      <alignment vertical="bottom"/>
    </xf>
    <xf numFmtId="49" fontId="6" borderId="5"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7" borderId="5" applyNumberFormat="1" applyFont="1" applyFill="0" applyBorder="1" applyAlignment="1" applyProtection="0">
      <alignment vertical="bottom"/>
    </xf>
    <xf numFmtId="0" fontId="0"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8" fillId="4" borderId="9" applyNumberFormat="0" applyFont="1" applyFill="1" applyBorder="1" applyAlignment="1" applyProtection="0">
      <alignment horizontal="center" vertical="center" wrapText="1"/>
    </xf>
    <xf numFmtId="49" fontId="8" fillId="4" borderId="9" applyNumberFormat="1" applyFont="1" applyFill="1" applyBorder="1" applyAlignment="1" applyProtection="0">
      <alignment horizontal="center" vertical="center" wrapText="1"/>
    </xf>
    <xf numFmtId="49" fontId="9" borderId="10" applyNumberFormat="1" applyFont="1" applyFill="0" applyBorder="1" applyAlignment="1" applyProtection="0">
      <alignment vertical="bottom"/>
    </xf>
    <xf numFmtId="0" fontId="0" borderId="11" applyNumberFormat="0" applyFont="1" applyFill="0" applyBorder="1" applyAlignment="1" applyProtection="0">
      <alignment vertical="bottom"/>
    </xf>
    <xf numFmtId="49" fontId="10" fillId="5" borderId="9" applyNumberFormat="1" applyFont="1" applyFill="1" applyBorder="1" applyAlignment="1" applyProtection="0">
      <alignment horizontal="left" vertical="top" wrapText="1"/>
    </xf>
    <xf numFmtId="0" fontId="10" fillId="5" borderId="9" applyNumberFormat="1" applyFont="1" applyFill="1" applyBorder="1" applyAlignment="1" applyProtection="0">
      <alignment horizontal="center" vertical="center" wrapText="1"/>
    </xf>
    <xf numFmtId="9" fontId="10" fillId="5" borderId="9" applyNumberFormat="1" applyFont="1" applyFill="1" applyBorder="1" applyAlignment="1" applyProtection="0">
      <alignment horizontal="center" vertical="center" wrapText="1"/>
    </xf>
    <xf numFmtId="0" fontId="0" borderId="12" applyNumberFormat="0" applyFont="1" applyFill="0" applyBorder="1" applyAlignment="1" applyProtection="0">
      <alignment vertical="bottom"/>
    </xf>
    <xf numFmtId="49" fontId="9" fillId="6" borderId="9" applyNumberFormat="1" applyFont="1" applyFill="1" applyBorder="1" applyAlignment="1" applyProtection="0">
      <alignment vertical="bottom"/>
    </xf>
    <xf numFmtId="0" fontId="9" fillId="6" borderId="9" applyNumberFormat="0" applyFont="1" applyFill="1" applyBorder="1" applyAlignment="1" applyProtection="0">
      <alignment vertical="bottom"/>
    </xf>
    <xf numFmtId="0" fontId="9" fillId="6" borderId="9" applyNumberFormat="1" applyFont="1" applyFill="1" applyBorder="1" applyAlignment="1" applyProtection="0">
      <alignment vertical="bottom"/>
    </xf>
    <xf numFmtId="9" fontId="9" fillId="6" borderId="9" applyNumberFormat="1" applyFont="1" applyFill="1" applyBorder="1" applyAlignment="1" applyProtection="0">
      <alignment vertical="bottom"/>
    </xf>
    <xf numFmtId="0" fontId="0" borderId="13" applyNumberFormat="0" applyFont="1" applyFill="0" applyBorder="1" applyAlignment="1" applyProtection="0">
      <alignment vertical="bottom"/>
    </xf>
    <xf numFmtId="0" fontId="0" borderId="14" applyNumberFormat="0" applyFont="1" applyFill="0" applyBorder="1" applyAlignment="1" applyProtection="0">
      <alignment vertical="bottom"/>
    </xf>
    <xf numFmtId="49" fontId="11" borderId="5" applyNumberFormat="1" applyFont="1" applyFill="0" applyBorder="1" applyAlignment="1" applyProtection="0">
      <alignment vertical="bottom"/>
    </xf>
    <xf numFmtId="49" fontId="9" borderId="5" applyNumberFormat="1" applyFont="1" applyFill="0" applyBorder="1" applyAlignment="1" applyProtection="0">
      <alignment vertical="bottom"/>
    </xf>
    <xf numFmtId="49" fontId="10" borderId="5" applyNumberFormat="1" applyFont="1" applyFill="0" applyBorder="1" applyAlignment="1" applyProtection="0">
      <alignment vertical="bottom"/>
    </xf>
    <xf numFmtId="0" fontId="0" borderId="15" applyNumberFormat="0" applyFont="1" applyFill="0" applyBorder="1" applyAlignment="1" applyProtection="0">
      <alignment vertical="bottom"/>
    </xf>
    <xf numFmtId="49" fontId="9" borderId="16" applyNumberFormat="1" applyFont="1" applyFill="0" applyBorder="1" applyAlignment="1" applyProtection="0">
      <alignment vertical="bottom"/>
    </xf>
    <xf numFmtId="49" fontId="10" borderId="16" applyNumberFormat="1" applyFont="1" applyFill="0" applyBorder="1" applyAlignment="1" applyProtection="0">
      <alignment vertical="bottom"/>
    </xf>
    <xf numFmtId="0" fontId="0" borderId="16" applyNumberFormat="0" applyFont="1" applyFill="0" applyBorder="1" applyAlignment="1" applyProtection="0">
      <alignment vertical="bottom"/>
    </xf>
    <xf numFmtId="0" fontId="0" borderId="17" applyNumberFormat="0" applyFont="1" applyFill="0" applyBorder="1" applyAlignment="1" applyProtection="0">
      <alignment vertical="bottom"/>
    </xf>
    <xf numFmtId="0" fontId="0" applyNumberFormat="1" applyFont="1" applyFill="0" applyBorder="0" applyAlignment="1" applyProtection="0">
      <alignment vertical="bottom"/>
    </xf>
    <xf numFmtId="49" fontId="10" fillId="5" borderId="9" applyNumberFormat="1" applyFont="1" applyFill="1" applyBorder="1" applyAlignment="1" applyProtection="0">
      <alignment horizontal="center" vertical="center" wrapText="1"/>
    </xf>
    <xf numFmtId="0" fontId="10" fillId="5" borderId="9" applyNumberFormat="0" applyFont="1" applyFill="1" applyBorder="1" applyAlignment="1" applyProtection="0">
      <alignment horizontal="center" vertical="center" wrapText="1"/>
    </xf>
    <xf numFmtId="0" fontId="10" fillId="5" borderId="9" applyNumberFormat="0" applyFont="1" applyFill="1" applyBorder="1" applyAlignment="1" applyProtection="0">
      <alignment horizontal="left" vertical="top" wrapText="1"/>
    </xf>
    <xf numFmtId="0" fontId="10" fillId="7" borderId="9" applyNumberFormat="1" applyFont="1" applyFill="1" applyBorder="1" applyAlignment="1" applyProtection="0">
      <alignment horizontal="center" vertical="center" wrapText="1"/>
    </xf>
    <xf numFmtId="49" fontId="10" fillId="7" borderId="9" applyNumberFormat="1" applyFont="1" applyFill="1" applyBorder="1" applyAlignment="1" applyProtection="0">
      <alignment horizontal="left" vertical="top" wrapText="1"/>
    </xf>
    <xf numFmtId="49" fontId="10" fillId="7" borderId="9" applyNumberFormat="1" applyFont="1" applyFill="1" applyBorder="1" applyAlignment="1" applyProtection="0">
      <alignment horizontal="center" vertical="center" wrapText="1"/>
    </xf>
    <xf numFmtId="0" fontId="10" fillId="7" borderId="9" applyNumberFormat="0" applyFont="1" applyFill="1" applyBorder="1" applyAlignment="1" applyProtection="0">
      <alignment horizontal="center" vertical="center" wrapText="1"/>
    </xf>
    <xf numFmtId="0" fontId="10" fillId="7" borderId="9" applyNumberFormat="0" applyFont="1" applyFill="1" applyBorder="1" applyAlignment="1" applyProtection="0">
      <alignment horizontal="left" vertical="top" wrapText="1"/>
    </xf>
    <xf numFmtId="0" fontId="0" applyNumberFormat="1" applyFont="1" applyFill="0" applyBorder="0" applyAlignment="1" applyProtection="0">
      <alignment vertical="bottom"/>
    </xf>
    <xf numFmtId="49" fontId="11" fillId="6" borderId="5" applyNumberFormat="1" applyFont="1" applyFill="1" applyBorder="1" applyAlignment="1" applyProtection="0">
      <alignment vertical="bottom"/>
    </xf>
    <xf numFmtId="49" fontId="10" fillId="5" borderId="5" applyNumberFormat="1" applyFont="1" applyFill="1" applyBorder="1" applyAlignment="1" applyProtection="0">
      <alignment horizontal="left" vertical="top" wrapText="1"/>
    </xf>
    <xf numFmtId="49" fontId="10" fillId="5" borderId="16" applyNumberFormat="1" applyFont="1" applyFill="1" applyBorder="1" applyAlignment="1" applyProtection="0">
      <alignment horizontal="left" vertical="top" wrapText="1"/>
    </xf>
    <xf numFmtId="0" fontId="0" applyNumberFormat="1" applyFont="1" applyFill="0" applyBorder="0" applyAlignment="1" applyProtection="0">
      <alignment vertical="bottom"/>
    </xf>
    <xf numFmtId="0" fontId="0" borderId="18" applyNumberFormat="0" applyFont="1" applyFill="0" applyBorder="1" applyAlignment="1" applyProtection="0">
      <alignment vertical="bottom"/>
    </xf>
    <xf numFmtId="0" fontId="0" borderId="19" applyNumberFormat="0" applyFont="1" applyFill="0" applyBorder="1" applyAlignment="1" applyProtection="0">
      <alignment vertical="bottom"/>
    </xf>
    <xf numFmtId="0" fontId="0" borderId="20" applyNumberFormat="0" applyFont="1" applyFill="0" applyBorder="1" applyAlignment="1" applyProtection="0">
      <alignment vertical="bottom"/>
    </xf>
    <xf numFmtId="49" fontId="7" fillId="5" borderId="15" applyNumberFormat="1" applyFont="1" applyFill="1" applyBorder="1" applyAlignment="1" applyProtection="0">
      <alignment horizontal="left" vertical="top" wrapText="1"/>
    </xf>
  </cellXfs>
  <cellStyles count="1">
    <cellStyle name="Normal" xfId="0" builtinId="0"/>
  </cellStyles>
  <dxfs count="4">
    <dxf>
      <font>
        <color rgb="ff006100"/>
      </font>
    </dxf>
    <dxf>
      <font>
        <color rgb="ff9c0006"/>
      </font>
    </dxf>
    <dxf>
      <font>
        <color rgb="ff9c6500"/>
      </font>
    </dxf>
    <dxf>
      <font>
        <color rgb="ff808080"/>
      </font>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aaaaaa"/>
      <rgbColor rgb="ff1f3864"/>
      <rgbColor rgb="ff595959"/>
      <rgbColor rgb="ffb7b7b7"/>
      <rgbColor rgb="ffffffff"/>
      <rgbColor rgb="ff305496"/>
      <rgbColor rgb="ffd9e1f2"/>
      <rgbColor rgb="ff006100"/>
      <rgbColor rgb="ff9c0006"/>
      <rgbColor rgb="ff9c6500"/>
      <rgbColor rgb="ff808080"/>
      <rgbColor rgb="fff7f9fc"/>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50"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row r="13">
      <c r="B13" t="s" s="3">
        <v>251</v>
      </c>
      <c r="C13" s="3"/>
      <c r="D13" s="3"/>
    </row>
    <row r="14">
      <c r="B14" s="4"/>
      <c r="C14" t="s" s="4">
        <v>5</v>
      </c>
      <c r="D14" t="s" s="5">
        <v>251</v>
      </c>
    </row>
    <row r="15">
      <c r="B15" t="s" s="3">
        <v>263</v>
      </c>
      <c r="C15" s="3"/>
      <c r="D15" s="3"/>
    </row>
    <row r="16">
      <c r="B16" s="4"/>
      <c r="C16" t="s" s="4">
        <v>5</v>
      </c>
      <c r="D16" t="s" s="5">
        <v>263</v>
      </c>
    </row>
  </sheetData>
  <mergeCells count="1">
    <mergeCell ref="B3:D3"/>
  </mergeCells>
  <hyperlinks>
    <hyperlink ref="D10" location="'サマリー'!R1C1" tooltip="" display="サマリー"/>
    <hyperlink ref="D12" location="'テストケース一覧'!R1C1" tooltip="" display="テストケース一覧"/>
    <hyperlink ref="D14" location="'事前準備'!R1C1" tooltip="" display="事前準備"/>
    <hyperlink ref="D16" location="'Stripeテストカード'!R1C1" tooltip="" display="Stripeテストカード"/>
  </hyperlinks>
</worksheet>
</file>

<file path=xl/worksheets/sheet2.xml><?xml version="1.0" encoding="utf-8"?>
<worksheet xmlns:r="http://schemas.openxmlformats.org/officeDocument/2006/relationships" xmlns="http://schemas.openxmlformats.org/spreadsheetml/2006/main">
  <dimension ref="A1:H20"/>
  <sheetViews>
    <sheetView workbookViewId="0" showGridLines="0" defaultGridColor="1"/>
  </sheetViews>
  <sheetFormatPr defaultColWidth="8.83333" defaultRowHeight="15" customHeight="1" outlineLevelRow="0" outlineLevelCol="0"/>
  <cols>
    <col min="1" max="1" width="2" style="6" customWidth="1"/>
    <col min="2" max="2" width="16" style="6" customWidth="1"/>
    <col min="3" max="3" width="42" style="6" customWidth="1"/>
    <col min="4" max="8" width="10" style="6" customWidth="1"/>
    <col min="9" max="16384" width="8.85156" style="6" customWidth="1"/>
  </cols>
  <sheetData>
    <row r="1" ht="13.55" customHeight="1">
      <c r="A1" s="7"/>
      <c r="B1" s="8"/>
      <c r="C1" s="8"/>
      <c r="D1" s="8"/>
      <c r="E1" s="8"/>
      <c r="F1" s="8"/>
      <c r="G1" s="8"/>
      <c r="H1" s="9"/>
    </row>
    <row r="2" ht="20.45" customHeight="1">
      <c r="A2" s="10"/>
      <c r="B2" t="s" s="11">
        <v>6</v>
      </c>
      <c r="C2" s="12"/>
      <c r="D2" s="12"/>
      <c r="E2" s="12"/>
      <c r="F2" s="12"/>
      <c r="G2" s="12"/>
      <c r="H2" s="13"/>
    </row>
    <row r="3" ht="13.65" customHeight="1">
      <c r="A3" s="10"/>
      <c r="B3" t="s" s="14">
        <v>7</v>
      </c>
      <c r="C3" s="12"/>
      <c r="D3" s="12"/>
      <c r="E3" s="12"/>
      <c r="F3" s="12"/>
      <c r="G3" s="12"/>
      <c r="H3" s="13"/>
    </row>
    <row r="4" ht="13.55" customHeight="1">
      <c r="A4" s="10"/>
      <c r="B4" s="12"/>
      <c r="C4" s="12"/>
      <c r="D4" s="12"/>
      <c r="E4" s="12"/>
      <c r="F4" s="12"/>
      <c r="G4" s="12"/>
      <c r="H4" s="13"/>
    </row>
    <row r="5" ht="13.55" customHeight="1">
      <c r="A5" s="15"/>
      <c r="B5" s="16"/>
      <c r="C5" s="16"/>
      <c r="D5" s="16"/>
      <c r="E5" s="16"/>
      <c r="F5" s="16"/>
      <c r="G5" s="16"/>
      <c r="H5" s="13"/>
    </row>
    <row r="6" ht="13.65" customHeight="1">
      <c r="A6" s="17"/>
      <c r="B6" t="s" s="18">
        <v>8</v>
      </c>
      <c r="C6" t="s" s="18">
        <v>9</v>
      </c>
      <c r="D6" t="s" s="18">
        <v>10</v>
      </c>
      <c r="E6" t="s" s="18">
        <v>11</v>
      </c>
      <c r="F6" t="s" s="18">
        <v>12</v>
      </c>
      <c r="G6" t="s" s="18">
        <v>13</v>
      </c>
      <c r="H6" t="s" s="19">
        <v>14</v>
      </c>
    </row>
    <row r="7" ht="13.9" customHeight="1">
      <c r="A7" s="20"/>
      <c r="B7" t="s" s="21">
        <v>15</v>
      </c>
      <c r="C7" t="s" s="21">
        <v>16</v>
      </c>
      <c r="D7" s="22">
        <v>0</v>
      </c>
      <c r="E7" s="22">
        <v>0</v>
      </c>
      <c r="F7" s="22">
        <v>0</v>
      </c>
      <c r="G7" s="22">
        <v>0</v>
      </c>
      <c r="H7" s="23">
        <f>IF(D7=0,0,E7/D7)</f>
        <v>0</v>
      </c>
    </row>
    <row r="8" ht="13.65" customHeight="1">
      <c r="A8" s="24"/>
      <c r="B8" t="s" s="21">
        <v>17</v>
      </c>
      <c r="C8" t="s" s="21">
        <v>18</v>
      </c>
      <c r="D8" s="22">
        <v>0</v>
      </c>
      <c r="E8" s="22">
        <v>0</v>
      </c>
      <c r="F8" s="22">
        <v>0</v>
      </c>
      <c r="G8" s="22">
        <v>0</v>
      </c>
      <c r="H8" s="23">
        <f>IF(D8=0,0,E8/D8)</f>
        <v>0</v>
      </c>
    </row>
    <row r="9" ht="13.65" customHeight="1">
      <c r="A9" s="24"/>
      <c r="B9" t="s" s="21">
        <v>19</v>
      </c>
      <c r="C9" t="s" s="21">
        <v>20</v>
      </c>
      <c r="D9" s="22">
        <v>0</v>
      </c>
      <c r="E9" s="22">
        <v>0</v>
      </c>
      <c r="F9" s="22">
        <v>0</v>
      </c>
      <c r="G9" s="22">
        <v>0</v>
      </c>
      <c r="H9" s="23">
        <f>IF(D9=0,0,E9/D9)</f>
        <v>0</v>
      </c>
    </row>
    <row r="10" ht="13.65" customHeight="1">
      <c r="A10" s="24"/>
      <c r="B10" t="s" s="21">
        <v>21</v>
      </c>
      <c r="C10" t="s" s="21">
        <v>22</v>
      </c>
      <c r="D10" s="22">
        <v>0</v>
      </c>
      <c r="E10" s="22">
        <v>0</v>
      </c>
      <c r="F10" s="22">
        <v>0</v>
      </c>
      <c r="G10" s="22">
        <v>0</v>
      </c>
      <c r="H10" s="23">
        <f>IF(D10=0,0,E10/D10)</f>
        <v>0</v>
      </c>
    </row>
    <row r="11" ht="13.65" customHeight="1">
      <c r="A11" s="24"/>
      <c r="B11" t="s" s="21">
        <v>23</v>
      </c>
      <c r="C11" t="s" s="21">
        <v>24</v>
      </c>
      <c r="D11" s="22">
        <v>0</v>
      </c>
      <c r="E11" s="22">
        <v>0</v>
      </c>
      <c r="F11" s="22">
        <v>0</v>
      </c>
      <c r="G11" s="22">
        <v>0</v>
      </c>
      <c r="H11" s="23">
        <f>IF(D11=0,0,E11/D11)</f>
        <v>0</v>
      </c>
    </row>
    <row r="12" ht="13.9" customHeight="1">
      <c r="A12" s="24"/>
      <c r="B12" t="s" s="21">
        <v>25</v>
      </c>
      <c r="C12" t="s" s="21">
        <v>26</v>
      </c>
      <c r="D12" s="22">
        <v>0</v>
      </c>
      <c r="E12" s="22">
        <v>0</v>
      </c>
      <c r="F12" s="22">
        <v>0</v>
      </c>
      <c r="G12" s="22">
        <v>0</v>
      </c>
      <c r="H12" s="23">
        <f>IF(D12=0,0,E12/D12)</f>
        <v>0</v>
      </c>
    </row>
    <row r="13" ht="13.65" customHeight="1">
      <c r="A13" s="24"/>
      <c r="B13" t="s" s="25">
        <v>27</v>
      </c>
      <c r="C13" s="26"/>
      <c r="D13" s="27">
        <f>SUM(D7:D12)</f>
        <v>0</v>
      </c>
      <c r="E13" s="27">
        <f>SUM(E7:E12)</f>
        <v>0</v>
      </c>
      <c r="F13" s="27">
        <f>SUM(F7:F12)</f>
        <v>0</v>
      </c>
      <c r="G13" s="27">
        <f>SUM(G7:G12)</f>
        <v>0</v>
      </c>
      <c r="H13" s="28">
        <f>IF(D13=0,0,E13/D13)</f>
        <v>0</v>
      </c>
    </row>
    <row r="14" ht="13.55" customHeight="1">
      <c r="A14" s="10"/>
      <c r="B14" s="29"/>
      <c r="C14" s="29"/>
      <c r="D14" s="29"/>
      <c r="E14" s="29"/>
      <c r="F14" s="29"/>
      <c r="G14" s="29"/>
      <c r="H14" s="30"/>
    </row>
    <row r="15" ht="13.65" customHeight="1">
      <c r="A15" s="10"/>
      <c r="B15" t="s" s="14">
        <v>28</v>
      </c>
      <c r="C15" s="12"/>
      <c r="D15" s="12"/>
      <c r="E15" s="12"/>
      <c r="F15" s="12"/>
      <c r="G15" s="12"/>
      <c r="H15" s="13"/>
    </row>
    <row r="16" ht="13.55" customHeight="1">
      <c r="A16" s="10"/>
      <c r="B16" s="12"/>
      <c r="C16" s="12"/>
      <c r="D16" s="12"/>
      <c r="E16" s="12"/>
      <c r="F16" s="12"/>
      <c r="G16" s="12"/>
      <c r="H16" s="13"/>
    </row>
    <row r="17" ht="14.6" customHeight="1">
      <c r="A17" s="10"/>
      <c r="B17" t="s" s="31">
        <v>29</v>
      </c>
      <c r="C17" s="12"/>
      <c r="D17" s="12"/>
      <c r="E17" s="12"/>
      <c r="F17" s="12"/>
      <c r="G17" s="12"/>
      <c r="H17" s="13"/>
    </row>
    <row r="18" ht="13.65" customHeight="1">
      <c r="A18" s="10"/>
      <c r="B18" t="s" s="32">
        <v>30</v>
      </c>
      <c r="C18" t="s" s="33">
        <v>31</v>
      </c>
      <c r="D18" s="12"/>
      <c r="E18" s="12"/>
      <c r="F18" s="12"/>
      <c r="G18" s="12"/>
      <c r="H18" s="13"/>
    </row>
    <row r="19" ht="13.65" customHeight="1">
      <c r="A19" s="10"/>
      <c r="B19" t="s" s="32">
        <v>32</v>
      </c>
      <c r="C19" t="s" s="33">
        <v>33</v>
      </c>
      <c r="D19" s="12"/>
      <c r="E19" s="12"/>
      <c r="F19" s="12"/>
      <c r="G19" s="12"/>
      <c r="H19" s="13"/>
    </row>
    <row r="20" ht="13.65" customHeight="1">
      <c r="A20" s="34"/>
      <c r="B20" t="s" s="35">
        <v>34</v>
      </c>
      <c r="C20" t="s" s="36">
        <v>35</v>
      </c>
      <c r="D20" s="37"/>
      <c r="E20" s="37"/>
      <c r="F20" s="37"/>
      <c r="G20" s="37"/>
      <c r="H20" s="38"/>
    </row>
  </sheetData>
  <mergeCells count="7">
    <mergeCell ref="C19:H19"/>
    <mergeCell ref="B17:H17"/>
    <mergeCell ref="B2:H2"/>
    <mergeCell ref="C18:H18"/>
    <mergeCell ref="B15:H15"/>
    <mergeCell ref="C20:H20"/>
    <mergeCell ref="B3:H3"/>
  </mergeCells>
  <pageMargins left="0.75" right="0.75" top="1" bottom="1" header="0.5" footer="0.5"/>
  <pageSetup firstPageNumber="1" fitToHeight="1" fitToWidth="1" scale="100" useFirstPageNumber="0" orientation="portrait" pageOrder="downThenOver"/>
  <headerFooter>
    <oddFooter>&amp;C&amp;"ヒラギノ角ゴ ProN W3,Regular"&amp;12&amp;K000000&amp;P</oddFooter>
  </headerFooter>
</worksheet>
</file>

<file path=xl/worksheets/sheet3.xml><?xml version="1.0" encoding="utf-8"?>
<worksheet xmlns:r="http://schemas.openxmlformats.org/officeDocument/2006/relationships" xmlns="http://schemas.openxmlformats.org/spreadsheetml/2006/main">
  <dimension ref="A1:L33"/>
  <sheetViews>
    <sheetView workbookViewId="0" showGridLines="0" defaultGridColor="1"/>
  </sheetViews>
  <sheetFormatPr defaultColWidth="8.83333" defaultRowHeight="15" customHeight="1" outlineLevelRow="0" outlineLevelCol="0"/>
  <cols>
    <col min="1" max="1" width="5" style="39" customWidth="1"/>
    <col min="2" max="2" width="9" style="39" customWidth="1"/>
    <col min="3" max="3" width="12" style="39" customWidth="1"/>
    <col min="4" max="4" width="26" style="39" customWidth="1"/>
    <col min="5" max="5" width="40" style="39" customWidth="1"/>
    <col min="6" max="7" width="34" style="39" customWidth="1"/>
    <col min="8" max="8" width="30" style="39" customWidth="1"/>
    <col min="9" max="9" width="24" style="39" customWidth="1"/>
    <col min="10" max="10" width="11" style="39" customWidth="1"/>
    <col min="11" max="11" width="12" style="39" customWidth="1"/>
    <col min="12" max="12" width="26" style="39" customWidth="1"/>
    <col min="13" max="16384" width="8.85156" style="39" customWidth="1"/>
  </cols>
  <sheetData>
    <row r="1" ht="30" customHeight="1">
      <c r="A1" t="s" s="18">
        <v>37</v>
      </c>
      <c r="B1" t="s" s="18">
        <v>38</v>
      </c>
      <c r="C1" t="s" s="18">
        <v>39</v>
      </c>
      <c r="D1" t="s" s="18">
        <v>40</v>
      </c>
      <c r="E1" t="s" s="18">
        <v>41</v>
      </c>
      <c r="F1" t="s" s="18">
        <v>42</v>
      </c>
      <c r="G1" t="s" s="18">
        <v>43</v>
      </c>
      <c r="H1" t="s" s="18">
        <v>44</v>
      </c>
      <c r="I1" t="s" s="18">
        <v>45</v>
      </c>
      <c r="J1" t="s" s="18">
        <v>46</v>
      </c>
      <c r="K1" t="s" s="18">
        <v>47</v>
      </c>
      <c r="L1" t="s" s="18">
        <v>48</v>
      </c>
    </row>
    <row r="2" ht="90" customHeight="1">
      <c r="A2" s="22">
        <v>1</v>
      </c>
      <c r="B2" t="s" s="21">
        <v>49</v>
      </c>
      <c r="C2" t="s" s="21">
        <v>50</v>
      </c>
      <c r="D2" t="s" s="21">
        <v>51</v>
      </c>
      <c r="E2" t="s" s="21">
        <v>52</v>
      </c>
      <c r="F2" t="s" s="21">
        <v>53</v>
      </c>
      <c r="G2" t="s" s="21">
        <v>54</v>
      </c>
      <c r="H2" t="s" s="21">
        <v>55</v>
      </c>
      <c r="I2" t="s" s="21">
        <v>56</v>
      </c>
      <c r="J2" t="s" s="40">
        <v>13</v>
      </c>
      <c r="K2" s="41"/>
      <c r="L2" s="42"/>
    </row>
    <row r="3" ht="90" customHeight="1">
      <c r="A3" s="43">
        <v>2</v>
      </c>
      <c r="B3" t="s" s="44">
        <v>57</v>
      </c>
      <c r="C3" t="s" s="44">
        <v>50</v>
      </c>
      <c r="D3" t="s" s="44">
        <v>58</v>
      </c>
      <c r="E3" t="s" s="44">
        <v>59</v>
      </c>
      <c r="F3" t="s" s="44">
        <v>60</v>
      </c>
      <c r="G3" t="s" s="44">
        <v>61</v>
      </c>
      <c r="H3" t="s" s="44">
        <v>62</v>
      </c>
      <c r="I3" t="s" s="44">
        <v>63</v>
      </c>
      <c r="J3" t="s" s="45">
        <v>13</v>
      </c>
      <c r="K3" s="46"/>
      <c r="L3" s="47"/>
    </row>
    <row r="4" ht="90" customHeight="1">
      <c r="A4" s="22">
        <v>3</v>
      </c>
      <c r="B4" t="s" s="21">
        <v>64</v>
      </c>
      <c r="C4" t="s" s="21">
        <v>50</v>
      </c>
      <c r="D4" t="s" s="21">
        <v>65</v>
      </c>
      <c r="E4" t="s" s="21">
        <v>66</v>
      </c>
      <c r="F4" t="s" s="21">
        <v>67</v>
      </c>
      <c r="G4" t="s" s="21">
        <v>68</v>
      </c>
      <c r="H4" t="s" s="21">
        <v>69</v>
      </c>
      <c r="I4" t="s" s="21">
        <v>70</v>
      </c>
      <c r="J4" t="s" s="40">
        <v>13</v>
      </c>
      <c r="K4" s="41"/>
      <c r="L4" s="42"/>
    </row>
    <row r="5" ht="90" customHeight="1">
      <c r="A5" s="43">
        <v>4</v>
      </c>
      <c r="B5" t="s" s="44">
        <v>71</v>
      </c>
      <c r="C5" t="s" s="44">
        <v>50</v>
      </c>
      <c r="D5" t="s" s="44">
        <v>65</v>
      </c>
      <c r="E5" t="s" s="44">
        <v>72</v>
      </c>
      <c r="F5" t="s" s="44">
        <v>73</v>
      </c>
      <c r="G5" t="s" s="44">
        <v>74</v>
      </c>
      <c r="H5" t="s" s="44">
        <v>75</v>
      </c>
      <c r="I5" t="s" s="44">
        <v>76</v>
      </c>
      <c r="J5" t="s" s="45">
        <v>13</v>
      </c>
      <c r="K5" s="46"/>
      <c r="L5" s="47"/>
    </row>
    <row r="6" ht="90" customHeight="1">
      <c r="A6" s="22">
        <v>5</v>
      </c>
      <c r="B6" t="s" s="21">
        <v>77</v>
      </c>
      <c r="C6" t="s" s="21">
        <v>50</v>
      </c>
      <c r="D6" t="s" s="21">
        <v>65</v>
      </c>
      <c r="E6" t="s" s="21">
        <v>78</v>
      </c>
      <c r="F6" t="s" s="21">
        <v>79</v>
      </c>
      <c r="G6" t="s" s="21">
        <v>80</v>
      </c>
      <c r="H6" t="s" s="21">
        <v>81</v>
      </c>
      <c r="I6" t="s" s="21">
        <v>82</v>
      </c>
      <c r="J6" t="s" s="40">
        <v>13</v>
      </c>
      <c r="K6" s="41"/>
      <c r="L6" s="42"/>
    </row>
    <row r="7" ht="90" customHeight="1">
      <c r="A7" s="43">
        <v>6</v>
      </c>
      <c r="B7" t="s" s="44">
        <v>83</v>
      </c>
      <c r="C7" t="s" s="44">
        <v>50</v>
      </c>
      <c r="D7" t="s" s="44">
        <v>84</v>
      </c>
      <c r="E7" t="s" s="44">
        <v>85</v>
      </c>
      <c r="F7" t="s" s="44">
        <v>86</v>
      </c>
      <c r="G7" t="s" s="44">
        <v>87</v>
      </c>
      <c r="H7" t="s" s="44">
        <v>88</v>
      </c>
      <c r="I7" t="s" s="44">
        <v>82</v>
      </c>
      <c r="J7" t="s" s="45">
        <v>13</v>
      </c>
      <c r="K7" s="46"/>
      <c r="L7" s="47"/>
    </row>
    <row r="8" ht="90" customHeight="1">
      <c r="A8" s="22">
        <v>7</v>
      </c>
      <c r="B8" t="s" s="21">
        <v>89</v>
      </c>
      <c r="C8" t="s" s="21">
        <v>50</v>
      </c>
      <c r="D8" t="s" s="21">
        <v>82</v>
      </c>
      <c r="E8" t="s" s="21">
        <v>90</v>
      </c>
      <c r="F8" t="s" s="21">
        <v>91</v>
      </c>
      <c r="G8" t="s" s="21">
        <v>92</v>
      </c>
      <c r="H8" t="s" s="21">
        <v>92</v>
      </c>
      <c r="I8" t="s" s="21">
        <v>93</v>
      </c>
      <c r="J8" t="s" s="40">
        <v>13</v>
      </c>
      <c r="K8" s="41"/>
      <c r="L8" s="42"/>
    </row>
    <row r="9" ht="90" customHeight="1">
      <c r="A9" s="43">
        <v>8</v>
      </c>
      <c r="B9" t="s" s="44">
        <v>94</v>
      </c>
      <c r="C9" t="s" s="44">
        <v>50</v>
      </c>
      <c r="D9" t="s" s="44">
        <v>95</v>
      </c>
      <c r="E9" t="s" s="44">
        <v>96</v>
      </c>
      <c r="F9" t="s" s="44">
        <v>97</v>
      </c>
      <c r="G9" t="s" s="44">
        <v>98</v>
      </c>
      <c r="H9" t="s" s="44">
        <v>99</v>
      </c>
      <c r="I9" t="s" s="44">
        <v>100</v>
      </c>
      <c r="J9" t="s" s="45">
        <v>13</v>
      </c>
      <c r="K9" s="46"/>
      <c r="L9" s="47"/>
    </row>
    <row r="10" ht="90" customHeight="1">
      <c r="A10" s="22">
        <v>9</v>
      </c>
      <c r="B10" t="s" s="21">
        <v>101</v>
      </c>
      <c r="C10" t="s" s="21">
        <v>50</v>
      </c>
      <c r="D10" t="s" s="21">
        <v>102</v>
      </c>
      <c r="E10" t="s" s="21">
        <v>103</v>
      </c>
      <c r="F10" t="s" s="21">
        <v>104</v>
      </c>
      <c r="G10" t="s" s="21">
        <v>105</v>
      </c>
      <c r="H10" t="s" s="21">
        <v>106</v>
      </c>
      <c r="I10" t="s" s="21">
        <v>107</v>
      </c>
      <c r="J10" t="s" s="40">
        <v>13</v>
      </c>
      <c r="K10" s="41"/>
      <c r="L10" s="42"/>
    </row>
    <row r="11" ht="90" customHeight="1">
      <c r="A11" s="43">
        <v>10</v>
      </c>
      <c r="B11" t="s" s="44">
        <v>108</v>
      </c>
      <c r="C11" t="s" s="44">
        <v>50</v>
      </c>
      <c r="D11" t="s" s="44">
        <v>109</v>
      </c>
      <c r="E11" t="s" s="44">
        <v>110</v>
      </c>
      <c r="F11" t="s" s="44">
        <v>111</v>
      </c>
      <c r="G11" t="s" s="44">
        <v>112</v>
      </c>
      <c r="H11" t="s" s="44">
        <v>113</v>
      </c>
      <c r="I11" t="s" s="44">
        <v>114</v>
      </c>
      <c r="J11" t="s" s="45">
        <v>13</v>
      </c>
      <c r="K11" s="46"/>
      <c r="L11" s="47"/>
    </row>
    <row r="12" ht="90" customHeight="1">
      <c r="A12" s="22">
        <v>11</v>
      </c>
      <c r="B12" t="s" s="21">
        <v>115</v>
      </c>
      <c r="C12" t="s" s="21">
        <v>116</v>
      </c>
      <c r="D12" t="s" s="21">
        <v>117</v>
      </c>
      <c r="E12" t="s" s="21">
        <v>118</v>
      </c>
      <c r="F12" t="s" s="21">
        <v>119</v>
      </c>
      <c r="G12" t="s" s="21">
        <v>120</v>
      </c>
      <c r="H12" t="s" s="21">
        <v>121</v>
      </c>
      <c r="I12" t="s" s="21">
        <v>82</v>
      </c>
      <c r="J12" t="s" s="40">
        <v>13</v>
      </c>
      <c r="K12" s="41"/>
      <c r="L12" s="42"/>
    </row>
    <row r="13" ht="90" customHeight="1">
      <c r="A13" s="43">
        <v>12</v>
      </c>
      <c r="B13" t="s" s="44">
        <v>122</v>
      </c>
      <c r="C13" t="s" s="44">
        <v>116</v>
      </c>
      <c r="D13" t="s" s="44">
        <v>123</v>
      </c>
      <c r="E13" t="s" s="44">
        <v>124</v>
      </c>
      <c r="F13" t="s" s="44">
        <v>125</v>
      </c>
      <c r="G13" t="s" s="44">
        <v>126</v>
      </c>
      <c r="H13" t="s" s="44">
        <v>127</v>
      </c>
      <c r="I13" t="s" s="44">
        <v>128</v>
      </c>
      <c r="J13" t="s" s="45">
        <v>13</v>
      </c>
      <c r="K13" s="46"/>
      <c r="L13" s="47"/>
    </row>
    <row r="14" ht="90" customHeight="1">
      <c r="A14" s="22">
        <v>13</v>
      </c>
      <c r="B14" t="s" s="21">
        <v>129</v>
      </c>
      <c r="C14" t="s" s="21">
        <v>116</v>
      </c>
      <c r="D14" t="s" s="21">
        <v>130</v>
      </c>
      <c r="E14" t="s" s="21">
        <v>131</v>
      </c>
      <c r="F14" t="s" s="21">
        <v>132</v>
      </c>
      <c r="G14" t="s" s="21">
        <v>133</v>
      </c>
      <c r="H14" t="s" s="21">
        <v>134</v>
      </c>
      <c r="I14" t="s" s="21">
        <v>82</v>
      </c>
      <c r="J14" t="s" s="40">
        <v>13</v>
      </c>
      <c r="K14" s="41"/>
      <c r="L14" s="42"/>
    </row>
    <row r="15" ht="90" customHeight="1">
      <c r="A15" s="43">
        <v>14</v>
      </c>
      <c r="B15" t="s" s="44">
        <v>135</v>
      </c>
      <c r="C15" t="s" s="44">
        <v>116</v>
      </c>
      <c r="D15" t="s" s="44">
        <v>136</v>
      </c>
      <c r="E15" t="s" s="44">
        <v>137</v>
      </c>
      <c r="F15" t="s" s="44">
        <v>138</v>
      </c>
      <c r="G15" t="s" s="44">
        <v>139</v>
      </c>
      <c r="H15" t="s" s="44">
        <v>140</v>
      </c>
      <c r="I15" t="s" s="44">
        <v>141</v>
      </c>
      <c r="J15" t="s" s="45">
        <v>13</v>
      </c>
      <c r="K15" s="46"/>
      <c r="L15" s="47"/>
    </row>
    <row r="16" ht="90" customHeight="1">
      <c r="A16" s="22">
        <v>15</v>
      </c>
      <c r="B16" t="s" s="21">
        <v>142</v>
      </c>
      <c r="C16" t="s" s="21">
        <v>116</v>
      </c>
      <c r="D16" t="s" s="21">
        <v>143</v>
      </c>
      <c r="E16" t="s" s="21">
        <v>144</v>
      </c>
      <c r="F16" t="s" s="21">
        <v>145</v>
      </c>
      <c r="G16" t="s" s="21">
        <v>146</v>
      </c>
      <c r="H16" t="s" s="21">
        <v>147</v>
      </c>
      <c r="I16" t="s" s="21">
        <v>148</v>
      </c>
      <c r="J16" t="s" s="40">
        <v>13</v>
      </c>
      <c r="K16" s="41"/>
      <c r="L16" s="42"/>
    </row>
    <row r="17" ht="90" customHeight="1">
      <c r="A17" s="43">
        <v>16</v>
      </c>
      <c r="B17" t="s" s="44">
        <v>149</v>
      </c>
      <c r="C17" t="s" s="44">
        <v>150</v>
      </c>
      <c r="D17" t="s" s="44">
        <v>151</v>
      </c>
      <c r="E17" t="s" s="44">
        <v>152</v>
      </c>
      <c r="F17" t="s" s="44">
        <v>153</v>
      </c>
      <c r="G17" t="s" s="44">
        <v>154</v>
      </c>
      <c r="H17" t="s" s="44">
        <v>155</v>
      </c>
      <c r="I17" t="s" s="44">
        <v>82</v>
      </c>
      <c r="J17" t="s" s="45">
        <v>13</v>
      </c>
      <c r="K17" s="46"/>
      <c r="L17" s="47"/>
    </row>
    <row r="18" ht="90" customHeight="1">
      <c r="A18" s="22">
        <v>17</v>
      </c>
      <c r="B18" t="s" s="21">
        <v>156</v>
      </c>
      <c r="C18" t="s" s="21">
        <v>150</v>
      </c>
      <c r="D18" t="s" s="21">
        <v>157</v>
      </c>
      <c r="E18" t="s" s="21">
        <v>158</v>
      </c>
      <c r="F18" t="s" s="21">
        <v>159</v>
      </c>
      <c r="G18" t="s" s="21">
        <v>160</v>
      </c>
      <c r="H18" t="s" s="21">
        <v>161</v>
      </c>
      <c r="I18" t="s" s="21">
        <v>162</v>
      </c>
      <c r="J18" t="s" s="40">
        <v>13</v>
      </c>
      <c r="K18" s="41"/>
      <c r="L18" s="42"/>
    </row>
    <row r="19" ht="90" customHeight="1">
      <c r="A19" s="43">
        <v>18</v>
      </c>
      <c r="B19" t="s" s="44">
        <v>163</v>
      </c>
      <c r="C19" t="s" s="44">
        <v>150</v>
      </c>
      <c r="D19" t="s" s="44">
        <v>164</v>
      </c>
      <c r="E19" t="s" s="44">
        <v>165</v>
      </c>
      <c r="F19" t="s" s="44">
        <v>166</v>
      </c>
      <c r="G19" t="s" s="44">
        <v>139</v>
      </c>
      <c r="H19" t="s" s="44">
        <v>161</v>
      </c>
      <c r="I19" t="s" s="44">
        <v>141</v>
      </c>
      <c r="J19" t="s" s="45">
        <v>13</v>
      </c>
      <c r="K19" s="46"/>
      <c r="L19" s="47"/>
    </row>
    <row r="20" ht="90" customHeight="1">
      <c r="A20" s="22">
        <v>19</v>
      </c>
      <c r="B20" t="s" s="21">
        <v>167</v>
      </c>
      <c r="C20" t="s" s="21">
        <v>150</v>
      </c>
      <c r="D20" t="s" s="21">
        <v>168</v>
      </c>
      <c r="E20" t="s" s="21">
        <v>169</v>
      </c>
      <c r="F20" t="s" s="21">
        <v>170</v>
      </c>
      <c r="G20" t="s" s="21">
        <v>171</v>
      </c>
      <c r="H20" t="s" s="21">
        <v>172</v>
      </c>
      <c r="I20" t="s" s="21">
        <v>173</v>
      </c>
      <c r="J20" t="s" s="40">
        <v>13</v>
      </c>
      <c r="K20" s="41"/>
      <c r="L20" s="42"/>
    </row>
    <row r="21" ht="90" customHeight="1">
      <c r="A21" s="43">
        <v>20</v>
      </c>
      <c r="B21" t="s" s="44">
        <v>174</v>
      </c>
      <c r="C21" t="s" s="44">
        <v>175</v>
      </c>
      <c r="D21" t="s" s="44">
        <v>176</v>
      </c>
      <c r="E21" t="s" s="44">
        <v>177</v>
      </c>
      <c r="F21" t="s" s="44">
        <v>178</v>
      </c>
      <c r="G21" t="s" s="44">
        <v>179</v>
      </c>
      <c r="H21" t="s" s="44">
        <v>180</v>
      </c>
      <c r="I21" t="s" s="44">
        <v>82</v>
      </c>
      <c r="J21" t="s" s="45">
        <v>13</v>
      </c>
      <c r="K21" s="46"/>
      <c r="L21" s="47"/>
    </row>
    <row r="22" ht="90" customHeight="1">
      <c r="A22" s="22">
        <v>21</v>
      </c>
      <c r="B22" t="s" s="21">
        <v>181</v>
      </c>
      <c r="C22" t="s" s="21">
        <v>175</v>
      </c>
      <c r="D22" t="s" s="21">
        <v>182</v>
      </c>
      <c r="E22" t="s" s="21">
        <v>183</v>
      </c>
      <c r="F22" t="s" s="21">
        <v>184</v>
      </c>
      <c r="G22" t="s" s="21">
        <v>139</v>
      </c>
      <c r="H22" t="s" s="21">
        <v>161</v>
      </c>
      <c r="I22" t="s" s="21">
        <v>141</v>
      </c>
      <c r="J22" t="s" s="40">
        <v>13</v>
      </c>
      <c r="K22" s="41"/>
      <c r="L22" s="42"/>
    </row>
    <row r="23" ht="90" customHeight="1">
      <c r="A23" s="43">
        <v>22</v>
      </c>
      <c r="B23" t="s" s="44">
        <v>185</v>
      </c>
      <c r="C23" t="s" s="44">
        <v>175</v>
      </c>
      <c r="D23" t="s" s="44">
        <v>186</v>
      </c>
      <c r="E23" t="s" s="44">
        <v>187</v>
      </c>
      <c r="F23" t="s" s="44">
        <v>188</v>
      </c>
      <c r="G23" t="s" s="44">
        <v>189</v>
      </c>
      <c r="H23" t="s" s="44">
        <v>190</v>
      </c>
      <c r="I23" t="s" s="44">
        <v>191</v>
      </c>
      <c r="J23" t="s" s="45">
        <v>13</v>
      </c>
      <c r="K23" s="46"/>
      <c r="L23" s="47"/>
    </row>
    <row r="24" ht="90" customHeight="1">
      <c r="A24" s="22">
        <v>23</v>
      </c>
      <c r="B24" t="s" s="21">
        <v>192</v>
      </c>
      <c r="C24" t="s" s="21">
        <v>175</v>
      </c>
      <c r="D24" t="s" s="21">
        <v>193</v>
      </c>
      <c r="E24" t="s" s="21">
        <v>194</v>
      </c>
      <c r="F24" t="s" s="21">
        <v>195</v>
      </c>
      <c r="G24" t="s" s="21">
        <v>196</v>
      </c>
      <c r="H24" t="s" s="21">
        <v>197</v>
      </c>
      <c r="I24" t="s" s="21">
        <v>82</v>
      </c>
      <c r="J24" t="s" s="40">
        <v>13</v>
      </c>
      <c r="K24" s="41"/>
      <c r="L24" s="42"/>
    </row>
    <row r="25" ht="90" customHeight="1">
      <c r="A25" s="43">
        <v>24</v>
      </c>
      <c r="B25" t="s" s="44">
        <v>198</v>
      </c>
      <c r="C25" t="s" s="44">
        <v>199</v>
      </c>
      <c r="D25" t="s" s="44">
        <v>200</v>
      </c>
      <c r="E25" t="s" s="44">
        <v>201</v>
      </c>
      <c r="F25" t="s" s="44">
        <v>202</v>
      </c>
      <c r="G25" t="s" s="44">
        <v>203</v>
      </c>
      <c r="H25" t="s" s="44">
        <v>204</v>
      </c>
      <c r="I25" t="s" s="44">
        <v>82</v>
      </c>
      <c r="J25" t="s" s="45">
        <v>13</v>
      </c>
      <c r="K25" s="46"/>
      <c r="L25" s="47"/>
    </row>
    <row r="26" ht="90" customHeight="1">
      <c r="A26" s="22">
        <v>25</v>
      </c>
      <c r="B26" t="s" s="21">
        <v>205</v>
      </c>
      <c r="C26" t="s" s="21">
        <v>199</v>
      </c>
      <c r="D26" t="s" s="21">
        <v>206</v>
      </c>
      <c r="E26" t="s" s="21">
        <v>207</v>
      </c>
      <c r="F26" t="s" s="21">
        <v>208</v>
      </c>
      <c r="G26" t="s" s="21">
        <v>209</v>
      </c>
      <c r="H26" t="s" s="21">
        <v>210</v>
      </c>
      <c r="I26" t="s" s="21">
        <v>82</v>
      </c>
      <c r="J26" t="s" s="40">
        <v>13</v>
      </c>
      <c r="K26" s="41"/>
      <c r="L26" s="42"/>
    </row>
    <row r="27" ht="90" customHeight="1">
      <c r="A27" s="43">
        <v>26</v>
      </c>
      <c r="B27" t="s" s="44">
        <v>211</v>
      </c>
      <c r="C27" t="s" s="44">
        <v>199</v>
      </c>
      <c r="D27" t="s" s="44">
        <v>212</v>
      </c>
      <c r="E27" t="s" s="44">
        <v>213</v>
      </c>
      <c r="F27" t="s" s="44">
        <v>214</v>
      </c>
      <c r="G27" t="s" s="44">
        <v>121</v>
      </c>
      <c r="H27" t="s" s="44">
        <v>121</v>
      </c>
      <c r="I27" t="s" s="44">
        <v>162</v>
      </c>
      <c r="J27" t="s" s="45">
        <v>13</v>
      </c>
      <c r="K27" s="46"/>
      <c r="L27" s="47"/>
    </row>
    <row r="28" ht="90" customHeight="1">
      <c r="A28" s="22">
        <v>27</v>
      </c>
      <c r="B28" t="s" s="21">
        <v>215</v>
      </c>
      <c r="C28" t="s" s="21">
        <v>199</v>
      </c>
      <c r="D28" t="s" s="21">
        <v>216</v>
      </c>
      <c r="E28" t="s" s="21">
        <v>207</v>
      </c>
      <c r="F28" t="s" s="21">
        <v>217</v>
      </c>
      <c r="G28" t="s" s="21">
        <v>218</v>
      </c>
      <c r="H28" t="s" s="21">
        <v>219</v>
      </c>
      <c r="I28" t="s" s="21">
        <v>220</v>
      </c>
      <c r="J28" t="s" s="40">
        <v>13</v>
      </c>
      <c r="K28" s="41"/>
      <c r="L28" s="42"/>
    </row>
    <row r="29" ht="90" customHeight="1">
      <c r="A29" s="43">
        <v>28</v>
      </c>
      <c r="B29" t="s" s="44">
        <v>221</v>
      </c>
      <c r="C29" t="s" s="44">
        <v>199</v>
      </c>
      <c r="D29" t="s" s="44">
        <v>222</v>
      </c>
      <c r="E29" t="s" s="44">
        <v>223</v>
      </c>
      <c r="F29" t="s" s="44">
        <v>224</v>
      </c>
      <c r="G29" t="s" s="44">
        <v>225</v>
      </c>
      <c r="H29" t="s" s="44">
        <v>226</v>
      </c>
      <c r="I29" t="s" s="44">
        <v>227</v>
      </c>
      <c r="J29" t="s" s="45">
        <v>13</v>
      </c>
      <c r="K29" s="46"/>
      <c r="L29" s="47"/>
    </row>
    <row r="30" ht="90" customHeight="1">
      <c r="A30" s="22">
        <v>29</v>
      </c>
      <c r="B30" t="s" s="21">
        <v>228</v>
      </c>
      <c r="C30" t="s" s="21">
        <v>229</v>
      </c>
      <c r="D30" t="s" s="21">
        <v>230</v>
      </c>
      <c r="E30" t="s" s="21">
        <v>231</v>
      </c>
      <c r="F30" t="s" s="21">
        <v>82</v>
      </c>
      <c r="G30" t="s" s="21">
        <v>82</v>
      </c>
      <c r="H30" t="s" s="21">
        <v>232</v>
      </c>
      <c r="I30" t="s" s="21">
        <v>233</v>
      </c>
      <c r="J30" t="s" s="40">
        <v>13</v>
      </c>
      <c r="K30" s="41"/>
      <c r="L30" s="42"/>
    </row>
    <row r="31" ht="90" customHeight="1">
      <c r="A31" s="43">
        <v>30</v>
      </c>
      <c r="B31" t="s" s="44">
        <v>234</v>
      </c>
      <c r="C31" t="s" s="44">
        <v>229</v>
      </c>
      <c r="D31" t="s" s="44">
        <v>235</v>
      </c>
      <c r="E31" t="s" s="44">
        <v>236</v>
      </c>
      <c r="F31" t="s" s="44">
        <v>82</v>
      </c>
      <c r="G31" t="s" s="44">
        <v>82</v>
      </c>
      <c r="H31" t="s" s="44">
        <v>237</v>
      </c>
      <c r="I31" t="s" s="44">
        <v>238</v>
      </c>
      <c r="J31" t="s" s="45">
        <v>13</v>
      </c>
      <c r="K31" s="46"/>
      <c r="L31" s="47"/>
    </row>
    <row r="32" ht="90" customHeight="1">
      <c r="A32" s="22">
        <v>31</v>
      </c>
      <c r="B32" t="s" s="21">
        <v>239</v>
      </c>
      <c r="C32" t="s" s="21">
        <v>229</v>
      </c>
      <c r="D32" t="s" s="21">
        <v>240</v>
      </c>
      <c r="E32" t="s" s="21">
        <v>241</v>
      </c>
      <c r="F32" t="s" s="21">
        <v>242</v>
      </c>
      <c r="G32" t="s" s="21">
        <v>243</v>
      </c>
      <c r="H32" t="s" s="21">
        <v>82</v>
      </c>
      <c r="I32" t="s" s="21">
        <v>244</v>
      </c>
      <c r="J32" t="s" s="40">
        <v>13</v>
      </c>
      <c r="K32" s="41"/>
      <c r="L32" s="42"/>
    </row>
    <row r="33" ht="90" customHeight="1">
      <c r="A33" s="43">
        <v>32</v>
      </c>
      <c r="B33" t="s" s="44">
        <v>245</v>
      </c>
      <c r="C33" t="s" s="44">
        <v>229</v>
      </c>
      <c r="D33" t="s" s="44">
        <v>246</v>
      </c>
      <c r="E33" t="s" s="44">
        <v>247</v>
      </c>
      <c r="F33" t="s" s="44">
        <v>82</v>
      </c>
      <c r="G33" t="s" s="44">
        <v>248</v>
      </c>
      <c r="H33" t="s" s="44">
        <v>249</v>
      </c>
      <c r="I33" t="s" s="44">
        <v>250</v>
      </c>
      <c r="J33" t="s" s="45">
        <v>13</v>
      </c>
      <c r="K33" s="46"/>
      <c r="L33" s="47"/>
    </row>
  </sheetData>
  <conditionalFormatting sqref="J2:J33">
    <cfRule type="cellIs" dxfId="0" priority="1" operator="equal" stopIfTrue="1">
      <formula>"OK"</formula>
    </cfRule>
    <cfRule type="cellIs" dxfId="1" priority="2" operator="equal" stopIfTrue="1">
      <formula>"NG"</formula>
    </cfRule>
    <cfRule type="cellIs" dxfId="2" priority="3" operator="equal" stopIfTrue="1">
      <formula>"一部NG"</formula>
    </cfRule>
    <cfRule type="cellIs" dxfId="3" priority="4" operator="equal" stopIfTrue="1">
      <formula>"未実施"</formula>
    </cfRule>
  </conditionalFormatting>
  <dataValidations count="1">
    <dataValidation type="list" allowBlank="1" showInputMessage="1" showErrorMessage="1" sqref="J2:J33">
      <formula1>"未実施,OK,NG,一部NG,対象外"</formula1>
    </dataValidation>
  </dataValidations>
  <pageMargins left="0.75" right="0.75" top="1" bottom="1" header="0.5" footer="0.5"/>
  <pageSetup firstPageNumber="1" fitToHeight="1" fitToWidth="1" scale="100" useFirstPageNumber="0" orientation="portrait" pageOrder="downThenOver"/>
  <headerFooter>
    <oddFooter>&amp;C&amp;"ヒラギノ角ゴ ProN W3,Regular"&amp;12&amp;K000000&amp;P</oddFooter>
  </headerFooter>
</worksheet>
</file>

<file path=xl/worksheets/sheet4.xml><?xml version="1.0" encoding="utf-8"?>
<worksheet xmlns:r="http://schemas.openxmlformats.org/officeDocument/2006/relationships" xmlns="http://schemas.openxmlformats.org/spreadsheetml/2006/main">
  <dimension ref="A1:E17"/>
  <sheetViews>
    <sheetView workbookViewId="0" showGridLines="0" defaultGridColor="1"/>
  </sheetViews>
  <sheetFormatPr defaultColWidth="8.83333" defaultRowHeight="15" customHeight="1" outlineLevelRow="0" outlineLevelCol="0"/>
  <cols>
    <col min="1" max="1" width="2" style="48" customWidth="1"/>
    <col min="2" max="2" width="100" style="48" customWidth="1"/>
    <col min="3" max="5" width="8.85156" style="48" customWidth="1"/>
    <col min="6" max="16384" width="8.85156" style="48" customWidth="1"/>
  </cols>
  <sheetData>
    <row r="1" ht="13.55" customHeight="1">
      <c r="A1" s="7"/>
      <c r="B1" s="8"/>
      <c r="C1" s="8"/>
      <c r="D1" s="8"/>
      <c r="E1" s="9"/>
    </row>
    <row r="2" ht="20.45" customHeight="1">
      <c r="A2" s="10"/>
      <c r="B2" t="s" s="11">
        <v>252</v>
      </c>
      <c r="C2" s="12"/>
      <c r="D2" s="12"/>
      <c r="E2" s="13"/>
    </row>
    <row r="3" ht="13.55" customHeight="1">
      <c r="A3" s="10"/>
      <c r="B3" s="12"/>
      <c r="C3" s="12"/>
      <c r="D3" s="12"/>
      <c r="E3" s="13"/>
    </row>
    <row r="4" ht="14.6" customHeight="1">
      <c r="A4" s="10"/>
      <c r="B4" t="s" s="49">
        <v>253</v>
      </c>
      <c r="C4" s="12"/>
      <c r="D4" s="12"/>
      <c r="E4" s="13"/>
    </row>
    <row r="5" ht="36" customHeight="1">
      <c r="A5" s="10"/>
      <c r="B5" t="s" s="50">
        <v>254</v>
      </c>
      <c r="C5" s="12"/>
      <c r="D5" s="12"/>
      <c r="E5" s="13"/>
    </row>
    <row r="6" ht="13.55" customHeight="1">
      <c r="A6" s="10"/>
      <c r="B6" s="12"/>
      <c r="C6" s="12"/>
      <c r="D6" s="12"/>
      <c r="E6" s="13"/>
    </row>
    <row r="7" ht="14.6" customHeight="1">
      <c r="A7" s="10"/>
      <c r="B7" t="s" s="49">
        <v>255</v>
      </c>
      <c r="C7" s="12"/>
      <c r="D7" s="12"/>
      <c r="E7" s="13"/>
    </row>
    <row r="8" ht="72" customHeight="1">
      <c r="A8" s="10"/>
      <c r="B8" t="s" s="50">
        <v>256</v>
      </c>
      <c r="C8" s="12"/>
      <c r="D8" s="12"/>
      <c r="E8" s="13"/>
    </row>
    <row r="9" ht="13.55" customHeight="1">
      <c r="A9" s="10"/>
      <c r="B9" s="12"/>
      <c r="C9" s="12"/>
      <c r="D9" s="12"/>
      <c r="E9" s="13"/>
    </row>
    <row r="10" ht="14.6" customHeight="1">
      <c r="A10" s="10"/>
      <c r="B10" t="s" s="49">
        <v>257</v>
      </c>
      <c r="C10" s="12"/>
      <c r="D10" s="12"/>
      <c r="E10" s="13"/>
    </row>
    <row r="11" ht="90" customHeight="1">
      <c r="A11" s="10"/>
      <c r="B11" t="s" s="50">
        <v>258</v>
      </c>
      <c r="C11" s="12"/>
      <c r="D11" s="12"/>
      <c r="E11" s="13"/>
    </row>
    <row r="12" ht="13.55" customHeight="1">
      <c r="A12" s="10"/>
      <c r="B12" s="12"/>
      <c r="C12" s="12"/>
      <c r="D12" s="12"/>
      <c r="E12" s="13"/>
    </row>
    <row r="13" ht="14.6" customHeight="1">
      <c r="A13" s="10"/>
      <c r="B13" t="s" s="49">
        <v>259</v>
      </c>
      <c r="C13" s="12"/>
      <c r="D13" s="12"/>
      <c r="E13" s="13"/>
    </row>
    <row r="14" ht="36" customHeight="1">
      <c r="A14" s="10"/>
      <c r="B14" t="s" s="50">
        <v>260</v>
      </c>
      <c r="C14" s="12"/>
      <c r="D14" s="12"/>
      <c r="E14" s="13"/>
    </row>
    <row r="15" ht="13.55" customHeight="1">
      <c r="A15" s="10"/>
      <c r="B15" s="12"/>
      <c r="C15" s="12"/>
      <c r="D15" s="12"/>
      <c r="E15" s="13"/>
    </row>
    <row r="16" ht="14.6" customHeight="1">
      <c r="A16" s="10"/>
      <c r="B16" t="s" s="49">
        <v>261</v>
      </c>
      <c r="C16" s="12"/>
      <c r="D16" s="12"/>
      <c r="E16" s="13"/>
    </row>
    <row r="17" ht="72" customHeight="1">
      <c r="A17" s="34"/>
      <c r="B17" t="s" s="51">
        <v>262</v>
      </c>
      <c r="C17" s="37"/>
      <c r="D17" s="37"/>
      <c r="E17" s="38"/>
    </row>
  </sheetData>
  <pageMargins left="0.75" right="0.75" top="1" bottom="1" header="0.5" footer="0.5"/>
  <pageSetup firstPageNumber="1" fitToHeight="1" fitToWidth="1" scale="100" useFirstPageNumber="0" orientation="portrait" pageOrder="downThenOver"/>
  <headerFooter>
    <oddFooter>&amp;C&amp;"ヒラギノ角ゴ ProN W3,Regular"&amp;12&amp;K000000&amp;P</oddFooter>
  </headerFooter>
</worksheet>
</file>

<file path=xl/worksheets/sheet5.xml><?xml version="1.0" encoding="utf-8"?>
<worksheet xmlns:r="http://schemas.openxmlformats.org/officeDocument/2006/relationships" xmlns="http://schemas.openxmlformats.org/spreadsheetml/2006/main">
  <dimension ref="A1:E11"/>
  <sheetViews>
    <sheetView workbookViewId="0" showGridLines="0" defaultGridColor="1"/>
  </sheetViews>
  <sheetFormatPr defaultColWidth="8.83333" defaultRowHeight="15" customHeight="1" outlineLevelRow="0" outlineLevelCol="0"/>
  <cols>
    <col min="1" max="1" width="22" style="52" customWidth="1"/>
    <col min="2" max="2" width="28" style="52" customWidth="1"/>
    <col min="3" max="3" width="45" style="52" customWidth="1"/>
    <col min="4" max="5" width="8.85156" style="52" customWidth="1"/>
    <col min="6" max="16384" width="8.85156" style="52" customWidth="1"/>
  </cols>
  <sheetData>
    <row r="1" ht="13.55" customHeight="1">
      <c r="A1" t="s" s="18">
        <v>264</v>
      </c>
      <c r="B1" t="s" s="18">
        <v>265</v>
      </c>
      <c r="C1" t="s" s="18">
        <v>266</v>
      </c>
      <c r="D1" s="53"/>
      <c r="E1" s="9"/>
    </row>
    <row r="2" ht="13.65" customHeight="1">
      <c r="A2" t="s" s="21">
        <v>100</v>
      </c>
      <c r="B2" t="s" s="21">
        <v>267</v>
      </c>
      <c r="C2" t="s" s="21">
        <v>268</v>
      </c>
      <c r="D2" s="54"/>
      <c r="E2" s="13"/>
    </row>
    <row r="3" ht="13.9" customHeight="1">
      <c r="A3" t="s" s="21">
        <v>269</v>
      </c>
      <c r="B3" t="s" s="21">
        <v>270</v>
      </c>
      <c r="C3" t="s" s="21">
        <v>271</v>
      </c>
      <c r="D3" s="54"/>
      <c r="E3" s="13"/>
    </row>
    <row r="4" ht="13.9" customHeight="1">
      <c r="A4" t="s" s="21">
        <v>272</v>
      </c>
      <c r="B4" t="s" s="21">
        <v>273</v>
      </c>
      <c r="C4" t="s" s="21">
        <v>274</v>
      </c>
      <c r="D4" s="54"/>
      <c r="E4" s="13"/>
    </row>
    <row r="5" ht="13.9" customHeight="1">
      <c r="A5" t="s" s="21">
        <v>107</v>
      </c>
      <c r="B5" t="s" s="21">
        <v>275</v>
      </c>
      <c r="C5" t="s" s="21">
        <v>276</v>
      </c>
      <c r="D5" s="54"/>
      <c r="E5" s="13"/>
    </row>
    <row r="6" ht="13.9" customHeight="1">
      <c r="A6" t="s" s="21">
        <v>277</v>
      </c>
      <c r="B6" t="s" s="21">
        <v>278</v>
      </c>
      <c r="C6" t="s" s="21">
        <v>279</v>
      </c>
      <c r="D6" s="54"/>
      <c r="E6" s="13"/>
    </row>
    <row r="7" ht="13.9" customHeight="1">
      <c r="A7" t="s" s="21">
        <v>280</v>
      </c>
      <c r="B7" t="s" s="21">
        <v>281</v>
      </c>
      <c r="C7" t="s" s="21">
        <v>282</v>
      </c>
      <c r="D7" s="54"/>
      <c r="E7" s="13"/>
    </row>
    <row r="8" ht="13.9" customHeight="1">
      <c r="A8" t="s" s="21">
        <v>283</v>
      </c>
      <c r="B8" t="s" s="21">
        <v>284</v>
      </c>
      <c r="C8" t="s" s="21">
        <v>285</v>
      </c>
      <c r="D8" s="54"/>
      <c r="E8" s="13"/>
    </row>
    <row r="9" ht="13.55" customHeight="1">
      <c r="A9" s="55"/>
      <c r="B9" s="29"/>
      <c r="C9" s="29"/>
      <c r="D9" s="12"/>
      <c r="E9" s="13"/>
    </row>
    <row r="10" ht="13.55" customHeight="1">
      <c r="A10" s="10"/>
      <c r="B10" s="12"/>
      <c r="C10" s="12"/>
      <c r="D10" s="12"/>
      <c r="E10" s="13"/>
    </row>
    <row r="11" ht="30" customHeight="1">
      <c r="A11" t="s" s="56">
        <v>286</v>
      </c>
      <c r="B11" s="37"/>
      <c r="C11" s="37"/>
      <c r="D11" s="37"/>
      <c r="E11" s="38"/>
    </row>
  </sheetData>
  <mergeCells count="1">
    <mergeCell ref="A11:C11"/>
  </mergeCells>
  <pageMargins left="0.75" right="0.75" top="1" bottom="1" header="0.5" footer="0.5"/>
  <pageSetup firstPageNumber="1" fitToHeight="1" fitToWidth="1" scale="100" useFirstPageNumber="0" orientation="portrait" pageOrder="downThenOver"/>
  <headerFooter>
    <oddFooter>&amp;C&amp;"ヒラギノ角ゴ ProN W3,Regular"&amp;12&amp;K000000&amp;P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